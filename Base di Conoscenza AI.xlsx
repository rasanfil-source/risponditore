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truzioni" sheetId="1" r:id="rId4"/>
    <sheet state="visible" name="Sostituzioni" sheetId="2" r:id="rId5"/>
    <sheet state="visible" name="deposito" sheetId="3" r:id="rId6"/>
  </sheets>
  <definedNames/>
  <calcPr/>
</workbook>
</file>

<file path=xl/sharedStrings.xml><?xml version="1.0" encoding="utf-8"?>
<sst xmlns="http://schemas.openxmlformats.org/spreadsheetml/2006/main" count="398" uniqueCount="292">
  <si>
    <t>Categoria</t>
  </si>
  <si>
    <t>Chiave di ricerca</t>
  </si>
  <si>
    <t>Risposta</t>
  </si>
  <si>
    <t>Informazioni Generali</t>
  </si>
  <si>
    <t>Informazioni su nome e indirizzo parrocchia</t>
  </si>
  <si>
    <t>Parrocchia Sant'Eugenio | Basilica in Roma, Viale delle Belle Arti 10, 00196 Roma</t>
  </si>
  <si>
    <t>Motto parrocchia</t>
  </si>
  <si>
    <t>"Cercare Dio nella vita quotidiana"</t>
  </si>
  <si>
    <t>Link sito parrocchia</t>
  </si>
  <si>
    <t>www.parrocchiasanteugenio.it</t>
  </si>
  <si>
    <t>Link pagina Facebook parrocchia</t>
  </si>
  <si>
    <t>fb.com/basilica.santeugenio.9</t>
  </si>
  <si>
    <t>Link canale YouTube parrocchia</t>
  </si>
  <si>
    <t>@santeugenio</t>
  </si>
  <si>
    <t>Principi generali</t>
  </si>
  <si>
    <t>Istruzioni sul tono da usare nelle risposte</t>
  </si>
  <si>
    <t>Usa uno stile professionale. Evita enfasi. Sii essenziale e diretto, limitandoti alle informazioni richieste.</t>
  </si>
  <si>
    <t>Non usare mai espressioni confidenziali, come caro o cara. Né espressioni colloquiali come "ciao".</t>
  </si>
  <si>
    <t>Richiesta appuntamenti</t>
  </si>
  <si>
    <t>Se l'interlocutore chiede un appuntemento, non fornire mai una data per esso. Limitati a rispondere che la richiesta è stata annotata e in breve tempo verrà data una risposta.</t>
  </si>
  <si>
    <t>Tipologie di email</t>
  </si>
  <si>
    <t>Tipologie di email da ignorare</t>
  </si>
  <si>
    <t>Proposte commerciali, necrologi, amazon, segreteria generale della diocesi di Roma, paypal, ebay, subito.it, bonifico, ricevuta, Bollette, Avvisi di pagamento, Comunicazioni su spedizioni, Avvisi di sicurezza google, Notifiche di accesso, Tutte quelle email che chiedono di non rispondere a quel messaggio. Follow-up contenente esclusivamente un ringraziamento o una conferma di ricezione.</t>
  </si>
  <si>
    <t>Email con proposte pastorali o culturali</t>
  </si>
  <si>
    <t>1. Ringrazia il mittente. 2. Conferma che la proposta sarà esaminata a breve. 3. Comunica che verrà fornita una risposta in tempi rapidi. 4. Individua nel testo ricevuto elementi positivi e inserisci nella risposta un apprezzamento specifico per essi.</t>
  </si>
  <si>
    <t>Richiesta certificati</t>
  </si>
  <si>
    <t>Se richiesto un certificato: rispondere che sarà prodotto al più presto. Se e solo se viene specificato l’invio via email: rispondere che sarà inviato via email nel più breve tempo possibile. Se non viene indicata la preferenza per l’invio via email: rispondere che il richiedente sarà avvisato quando il certificato sarà pronto.</t>
  </si>
  <si>
    <t>Richiesta certificato idoneità padrino/madrina</t>
  </si>
  <si>
    <t>Per ottenere il certificato di idoneità a fare da padrino o madrina, è necessario presentarsi personalmente in parrocchia durante gli orari di apertura della basilica per dichiarare di essere in condizioni di assumere questo impegno. Generalmente questo certificato è rilasciato dalla parrocchia presso la quale attualmente si risiede.</t>
  </si>
  <si>
    <t>Email con scheda iscrizione catechesi</t>
  </si>
  <si>
    <t>Rispondere che siamo lieti di raccogliere la loro iscrizione</t>
  </si>
  <si>
    <t>Richiesta affitto locali parrocchiali</t>
  </si>
  <si>
    <t>La parrocchia vuole destinare le strutture di cui dispone esclusivamente per fini pastorali e di catechesi. Per questo motivo non li diamo in affitto per feste, riunioni condominiali, corsi professionali e simili.</t>
  </si>
  <si>
    <t>Richiesta segnalazione badanti o colf</t>
  </si>
  <si>
    <t>Rispondere che si prenderà in considerazione la richiesta e che si invierà a breve una risposta.</t>
  </si>
  <si>
    <t>Richiesta di celebrazione di una Messa in giorno e ora specifico</t>
  </si>
  <si>
    <t>Se e solo se l'interlocutore chiede che venga celebrata una Messa in un giorno e ora specifici, rispondere che la segreteria esaminerà se per la data e ora richieste è possibile accontentare la richiesta e farà sapere al più presto. La Chiesa stabilisce di applicare solo una intenzione per Messa.</t>
  </si>
  <si>
    <t>Richiesta di celebrazione di una Messa o più Messe per una intenzione</t>
  </si>
  <si>
    <t>Rispondere che collocheremo la celebrazione o le celebrazioni richieste nelle Messe ancora libere da intenzioni e comunicheremo la data o le date stabilite.</t>
  </si>
  <si>
    <t>Richiesta informazioni celebrazione battesimo di bambini</t>
  </si>
  <si>
    <t>Celebriamo il battesimo preferibilmente il sabato sera o nel giorno di domenica, all'interno della Messa. Prepariamo i genitori e i padrini al sacramento in un incontro della durata di circa un'ora da fissare col sacerdote celebrante, nei giorni anteriori al Battesimo. Se e solo se l'interlocutore avanza richieste particolari (celebrazione in un altro giorno, senza la Messa, con un sacerdote esterno...) invitare a contattare direttamente il parroco.</t>
  </si>
  <si>
    <t>Richiesta di fissare la data per un matrimonio o un battesimo o un funerale</t>
  </si>
  <si>
    <t>Rispondere che la segreteria esaminerà se è possibile accontentare la richiesta e farà sapere al più presto.</t>
  </si>
  <si>
    <t>Messaggi formulati in lingua diversa dall'italiano</t>
  </si>
  <si>
    <t>Rispondere usando la lingua dell'interlocutore</t>
  </si>
  <si>
    <t>Tipologia di email</t>
  </si>
  <si>
    <t>Richiesta celebrazione battesimo</t>
  </si>
  <si>
    <t>A chi chiede che i propri figli vengano battezzati nella nostra parrocchia rispondere che siamo lieti di poterlo fare. Ci metteremo al più presto in contatto con il richiedente per stabilire data e altr dettagli.</t>
  </si>
  <si>
    <t>Contatti</t>
  </si>
  <si>
    <t>Contatti parrocchia</t>
  </si>
  <si>
    <t>Tel: 06 323 18 84. Email: info@parrocchiasanteugenio.it</t>
  </si>
  <si>
    <t>Orari apertura segreteria</t>
  </si>
  <si>
    <t>Dal lunedì al venerdì, 8:00-12:00</t>
  </si>
  <si>
    <t>Orari Basilica</t>
  </si>
  <si>
    <t>Orari basilica invernali</t>
  </si>
  <si>
    <t>8:00-12:00 e 16:00-20:00</t>
  </si>
  <si>
    <t>Orari basilica estivi</t>
  </si>
  <si>
    <t>8:00-12:00 e 17:00-20:00</t>
  </si>
  <si>
    <t>Orari Messe</t>
  </si>
  <si>
    <t>Orari Messe sabato invernali</t>
  </si>
  <si>
    <t>8:00, 19:00</t>
  </si>
  <si>
    <t>Orari Messe feriali invernali</t>
  </si>
  <si>
    <t>7:25, 13:15, 19:00</t>
  </si>
  <si>
    <t>Orari Messe festive invernali</t>
  </si>
  <si>
    <t>9:30, 11:00, 12:15, 13:15, 17:30, 19:00</t>
  </si>
  <si>
    <t>Orari Messe estivi</t>
  </si>
  <si>
    <t>Feriali (Lun-Ven): 7:25, 19:00. Sabato: 8:00, 19:00. Festivi: 9:30, 11:00, 12:15, 19:00</t>
  </si>
  <si>
    <t>Giorni Speciali</t>
  </si>
  <si>
    <t>I giorni 1 gennaio, 6 gennaio, 1 novembre, 8 dicembre e 25 dicembre seguono l'orario invernale delle Messe della domenica. Il giorno 15 agosto segue l'orario estivo delle Messe della domenica.</t>
  </si>
  <si>
    <t>I giorni 25 aprile, 1 maggio, il lunedì successivo alla Pasqua e il 26 dicembre si celebra esclusivamente la Messa delle 19</t>
  </si>
  <si>
    <t>Confessioni</t>
  </si>
  <si>
    <t>Orari confessioni</t>
  </si>
  <si>
    <t>Tutti i giorni, negli orari di apertura della Basilica.</t>
  </si>
  <si>
    <t>Celebrazioni Liturgiche</t>
  </si>
  <si>
    <t>Date e orari Novena Immacolata</t>
  </si>
  <si>
    <t>30 Novembre - 7 Dicembre. S. Rosario 18:30, S. Messa 19:00</t>
  </si>
  <si>
    <t>Date e orari Solennità Immacolata</t>
  </si>
  <si>
    <t>8 Dicembre. S. Rosario 10:30, S. Messa 11:00</t>
  </si>
  <si>
    <t>Orario Messa Notte di Natale</t>
  </si>
  <si>
    <t>24 Dicembre. S. Messa ore 24:00</t>
  </si>
  <si>
    <t>Date Esercizi Spirituali Pasquali</t>
  </si>
  <si>
    <t>14, 15 e 16 aprile 2025 dalle 17:00 alle 19:30</t>
  </si>
  <si>
    <t>Date Triduo Pasquale</t>
  </si>
  <si>
    <t>17 aprile (Giovedì Santo), 18 aprile (Venerdì Santo), 19 aprile (Sabato Santo) 2025</t>
  </si>
  <si>
    <t>Data Prime Comunioni</t>
  </si>
  <si>
    <t>17/05/2025 - Ore 10:45</t>
  </si>
  <si>
    <t>Data Cresime</t>
  </si>
  <si>
    <t>Data Festa di S. Eugenio</t>
  </si>
  <si>
    <t>05/06/2026 - S. Messa ore 19:00, Festa Parrocchiale ore 20:00</t>
  </si>
  <si>
    <t>Attività Liturgiche</t>
  </si>
  <si>
    <t>Orari Adorazione Eucaristica</t>
  </si>
  <si>
    <t>Ogni giovedì dalle 18:00 alle 19:00 (escluso periodo estivo)</t>
  </si>
  <si>
    <t>Prime Comunioni</t>
  </si>
  <si>
    <t>Data ritiro preparazione Cresime</t>
  </si>
  <si>
    <t>09/05/2026. Dalle 10 alle 16.</t>
  </si>
  <si>
    <t>Prime comunioni</t>
  </si>
  <si>
    <t>Data incontro genitori Prime Comunioni</t>
  </si>
  <si>
    <t>15 maggio 2026 - Ore 20.30 presso l'Auletta rossa dell'Icef. Entrata dal cortile.</t>
  </si>
  <si>
    <t>Cresime</t>
  </si>
  <si>
    <t>Cresime ragazzi</t>
  </si>
  <si>
    <t>Data incontro genitori Cresime ragazzi</t>
  </si>
  <si>
    <t>Catechesi del buon Pastore</t>
  </si>
  <si>
    <t>Data inizio catechesi</t>
  </si>
  <si>
    <t>21/09/2025 per frequentanti, 19/10/2025 per i nuovi iscritti</t>
  </si>
  <si>
    <t>Catechesi prime comunioni e Cresime ragazzi</t>
  </si>
  <si>
    <t>21/09/2025 alle ore 10, in Aula Magna</t>
  </si>
  <si>
    <t>Data fine catechesi</t>
  </si>
  <si>
    <t>Corsi prematrimoniali: primo corso</t>
  </si>
  <si>
    <t>Corsi prematrimoniali: secondo corso</t>
  </si>
  <si>
    <t>07/03/2026 alle ore 17.30</t>
  </si>
  <si>
    <t>Corsi prematrimoniali</t>
  </si>
  <si>
    <t>Date incontri primo corso</t>
  </si>
  <si>
    <t>4/10/2025, 11/10/2025, 18/10/2025, 25/10/2025; 08/11/2025, 15/11/2025, 22/11/2025 29/11/2025; 13/12/2025</t>
  </si>
  <si>
    <t>Date incontri secondo corso</t>
  </si>
  <si>
    <t>07/03/2026,14/03/2026, 21/03/2026, 28/03/2026; 11/04/2026, 18/04/2026; 09/05/2026, 16/05/2026, 23/05/2026</t>
  </si>
  <si>
    <t>Preparazione alla cresima adulti: primo corso</t>
  </si>
  <si>
    <t>Preparazione alla cresima adulti: secondo corso</t>
  </si>
  <si>
    <t>14/03/2026 alle ore 16.30</t>
  </si>
  <si>
    <t>Preparazione alla cresima adulti</t>
  </si>
  <si>
    <t>11/10/2025, 18/10/2025, 25/10/2025; 08/11/2025, 15/11/2025, 22/11/2025 29/11/2025; 13/12/2025</t>
  </si>
  <si>
    <t>14/03/2026, 21/03/2026, 28/03/2026; 11/04/2026, 18/04/2026; 09/05/2026, 16/05/2026, 23/05/2026</t>
  </si>
  <si>
    <t>Catechesi</t>
  </si>
  <si>
    <t>Orari lezioni catechesi adulti</t>
  </si>
  <si>
    <t>Lezioni di teologia tenuti dai sacerdoti della Parrocchia di S. Eugenio. Don Miquel Delgado, domenica alle ore 10,00 - Don Miquel Delgado, giovedì ore 19,30 - Don Raimondo Sanfilippo, mercoledì alle ore 19,30: Lettere di San Paolo: Efesini, Filippesi, Colossesi</t>
  </si>
  <si>
    <t>Informazioni catechesi Buon Pastore</t>
  </si>
  <si>
    <t>Esperienza formativa per bambini dai 3 agli 8 anni che si ispira alla pedagogia di Maria Montessori. Si svolge domenica alle 10:00. Motto: "Far conoscere le parole di Gesù anche ai più piccoli". Gli incontri avvengono in un ambiente appositamente allestito, chiamato “atrio” dove i bambini hanno la possibilità di esplorare materiali didattici e simbolici. I catechisti, appositamente formati, accompagnano i bambini in questo percorso di approfondimento. Fin dall’inizio della catechesi, i bambini vengono introdotti ai primi elementi della fede cristiana, come la figura del Buon Pastore, il simbolismo del Battesimo, l’Eucarestia e altri misteri della vita di Cristo. La catechesi del Buon Pastore riconosce l’importanza dell’ascolto delle parabole, del lavoro con gli oggetti e del silenzio come strumenti efficaci per far comprendere ai bambini il messaggio del Valgelo in modo concreto e significativo.</t>
  </si>
  <si>
    <t>Iscrizioni catechesi Buon Pastore</t>
  </si>
  <si>
    <t>Contattare la segreteria e consegnare l'apposito modulo, scaricabile dal sito (vedi collegamento). 21 settembre per frequentanti. I nuovi iscritti della catechesi del Buon Pastore (3-8 anni) iniziano il 19 ottobre.</t>
  </si>
  <si>
    <t>Informazioni catechesi Prima Comunione</t>
  </si>
  <si>
    <t>Per bambini di 3ª e 4ª elementare. Domenica ore 10:00. Richiesta presenza di almeno un genitore alla catechesi parallela e partecipazione alla S. Messa delle 11:00</t>
  </si>
  <si>
    <t>Iscrizioni catechesi Prima Comunione</t>
  </si>
  <si>
    <t>Modulo presso segreteria o online + Certificato di Battesimo (se non ricevuto a S. Eugenio, scrivere "battezzato/a a S. Eugenio" nelle osservazioni)</t>
  </si>
  <si>
    <t>Informazioni catechesi Cresima Ragazzi</t>
  </si>
  <si>
    <t>Per ragazzi di 5ª elementare, 1ª e 2ª media. Domenica ore 10:00. Percorso di due anni. Richiesta presenza genitori alla catechesi e Messa</t>
  </si>
  <si>
    <t>Iscrizioni catechesi Cresima Ragazzi</t>
  </si>
  <si>
    <t>Modulo (anche online) + Certificato di Battesimo + successivamente Certificato di Idoneità del Padrino/Madrina</t>
  </si>
  <si>
    <t>Orari incontri formazione adolescenti</t>
  </si>
  <si>
    <t>La seconda e la quarta domenica del mese alle ore 10 con con Don Juan Rego</t>
  </si>
  <si>
    <t>Orari incontri formazione giovani</t>
  </si>
  <si>
    <t>Martedì ore 21:00 con Don Michele Delgado e Don Juan Rego</t>
  </si>
  <si>
    <t>Informazioni catechesi Cresima Adulti</t>
  </si>
  <si>
    <t>Due possibilità lungo l'anno di partecipare a un corso (8 incontri). A partire dal secondo sabato di ottobre oppure dal secondo sabato di marzo. Si svolgono sempre di sabato, alle ore 16:30.</t>
  </si>
  <si>
    <t>Buon Pastore</t>
  </si>
  <si>
    <t>Link modulo iscrizione catechesi</t>
  </si>
  <si>
    <t>tinyurl.com/buonpastore</t>
  </si>
  <si>
    <t>Prima comunione</t>
  </si>
  <si>
    <t>tinyurl.com/cateche</t>
  </si>
  <si>
    <t>Cresima ragazzi</t>
  </si>
  <si>
    <t>Cresima adulti</t>
  </si>
  <si>
    <t>tinyurl.com/cresimapr</t>
  </si>
  <si>
    <t>Corso prematrimoniale</t>
  </si>
  <si>
    <t>https://tinyurl.com/prematri</t>
  </si>
  <si>
    <t>Alternative per chi non può seguire una catechesi</t>
  </si>
  <si>
    <t>Possibilità di programmi personalizzati per giorno e ora, per venire incontro alle esigenze di lavoro. Scrivere nuovamente alla segreteria per illustrare le ragioni della incompatibilità di date o orari e proporne di diversi.</t>
  </si>
  <si>
    <t>Padrini</t>
  </si>
  <si>
    <t>Requisiti</t>
  </si>
  <si>
    <t>I criteri di idoneità per fre da padrino o madrina sono: aver compiuto 16 anni, non vivere in convivenza né essersi sposati solo civilmente, non aver procurato divorzio o essersi risposati civilmente, non essere genitore del cresimando, impegnarsi a condurre vita cristiana conforme alla fede.</t>
  </si>
  <si>
    <t>Informazioni corsi prematrimoniali</t>
  </si>
  <si>
    <t>Corso di preparazione al matrimonio. Il corso consta di 9 incontri. Le lezioni si svolgeranno il sabato alle ore 17,30. È necessario compilare il modulo per iscriversi (scaricabile anche dal sito) Il modulo può essere consegnato via emai all'indirizzo della parrocchia o a mano anche il giorno stesso del primo incontro. Primo corso: 4 – 11 – 18 – 25 OTTOBRE, 8 – 15 – 22 – 29 NOVEMBRE, 13 DICEMBRE 2025 / Secondo corso 9 – 14 – 21 – 28 MARZO, 9 – 18 APRILE, 9 - 16 - 23 MAGGIO 2026</t>
  </si>
  <si>
    <t>Matrimoni</t>
  </si>
  <si>
    <t>Documenti necessari per matrimonio</t>
  </si>
  <si>
    <t>Da preparare 5-6 mesi prima. Documenti religiosi: Certificato di Battesimo uso matrimonio + Certificato di Cresima. Documenti civili: Certificato contestuale in carta semplice (Residenza, cittadinanza e STATO CIVILE e NON,come erroneamente avviene, lo stato libero).</t>
  </si>
  <si>
    <t>Matrimoni di stranieri</t>
  </si>
  <si>
    <t>Documenti necessari per matrimonio di stranieri</t>
  </si>
  <si>
    <t>SE E SOLO SE CHI SCRIVE E' STRANIERO: 1. Rallegrarsi per la loro decisione di sposarsi e di aver scelto la nostra parrocchia romana, come luogo delle nozze. 2. USARE NELLA RISPOSTA LA STESSA LINGUA IN CUI HANNO SCRITTO 3. Informarli di quanto segue: Se sono stranieri e vivono all'estero e hanno scelto di sposarsi presso la nostra parrocchia, la prima cosa che devono fare (se non lo hanno già fatto) è recarsi nella chiesa più vicina al luogo dove abitano per chiedere informazioni al parroco al fine di frequentare il corso prematrimoniale: il corso li aiuterà a scoprire/approfondire la bellezza del matrimonio cristiano. Poiché vivono all'estero, il loro parroco è, di fatto, quello della parrocchia nella cui circoscrizione è situata la loro abitazione: devono parlare con lui per ricevere tutte le informazioni sulle pratiche burocratiche. Devono tenere però presente che in alcuni periodi dell'anno a Roma è vietato celebrare matrimoni, per esempio in Quaresima. Dopo il corso prematrimoniale devono realizzare, con il loro parroco, la pratica prematrimoniale, che è l'indagine (con la contestuale raccolta dei documenti religiosi) con cui il parroco, a nome della Chiesa, li accoglie e li autorizza a celebrare le nozze. Questa pratica prematrimoniale deve iniziare non prima di sei mesi rispetto alla data delle nozze. Conclusa la pratica prematrimoniale, il parroco chiederà che il Vescovo locale firmi il Nulla Osta e invii al Vicariato di Roma tutta la documentazione per posta urgente o può consegnarla a loro, perché loro stessi la inviino. Il Vicariato di Roma provvederà a compilare il Documento Finale chiamato "modello quattordici" (modello quattordici), e la consegnerà a loro o a un delegato munito di regolare procura, perché possano portarlo, prima della celebrazione, alla nostra chiesa, per le nozze. Attenzione: in Italia è necessario che i matrimoni religiosi abbiano conseguenze civili (matrimonio concordatario) o che il matrimonio civile preceda quello religioso. Per questo il Vicariato darà il suddetto Documento Finale "modello quattordici" solamente dopo aver ricevuto la certificazione di matrimonio civile (se sono già coniugi civili), o il "Nulla Osta Consolare" del loro Consolato qui a Roma (se voglioni celebrare un matrimonio concordatario). Per maggiori informazioni sul modello di Nulla Osta Consolare che lo Stato Italiano richiede per le celebrazioni delle nozze conviene consultare la pagina web del Ministero degli Affari Esteri (https://www.esteri.it/mae/en/servizi/italiani-all-estero/stato-civile/matrimonio_0.html). A volte il Vicariato di Roma consiglia di celebrare il matrimonio civile nel proprio paese e inviare la certificazione di matrimonio civile al Vicariato in modo da celebrare a Roma solamente il matrimonio religioso. Per qualsiasi dubbio o problema non esitino a domandarci. Viva i futuri sposi!</t>
  </si>
  <si>
    <t>Informazioni percorso 12 Ceste</t>
  </si>
  <si>
    <r>
      <rPr>
        <rFont val="Arial"/>
        <sz val="11.0"/>
      </rPr>
      <t xml:space="preserve">Per single mai sposati di età 34-55 anni. Percorso di crescita spirituale e umana attraverso catechesi e anche altri momenti di incontro (gite, passeggiate, attività caritative). Incontri domenicali: ore 15:00 Catechesi in Basilica, ore 16:00 Condivisione, ore 17:30 S. Messa. Calendario consultabile sul sito. Maggiori informazioni sono rinvenibili presso il sito delle 12 Ceste: </t>
    </r>
    <r>
      <rPr>
        <rFont val="Arial"/>
        <color rgb="FF1155CC"/>
        <sz val="11.0"/>
        <u/>
      </rPr>
      <t>www.12ceste.it</t>
    </r>
  </si>
  <si>
    <t>Date incontri 12 Ceste</t>
  </si>
  <si>
    <t>19/10/2025 - 16/11/2025 - 21/12/2025 - 18/01/2026 - 15/02/2026 - 15/03/2026 - 19/04/2026 - 17/05/2026</t>
  </si>
  <si>
    <t>Orari incontri giovani coppie</t>
  </si>
  <si>
    <t>Terzo sabato del mese, dalle 17:30 alle 19.</t>
  </si>
  <si>
    <t>Sacramenti</t>
  </si>
  <si>
    <t>Orari confessioni sacerdoti</t>
  </si>
  <si>
    <t>Don Michele Delgado:   martedì ore 17,00 – 19,30   mercoledì ore 9,30 – 12,00   sabato ore 18,45 – 19,30 | Don Raimondo Sanfilippo:  lunedì ore 17,30 – 19,30  mercoledì ore 8,30 – 9,30  giovedì ore 8,30/12.00 – 18.45/19,30 | Don Juan Rego: lunedì 9,00 – 12,00  domenica 10,30/13,30 – 17,30/19,00  | Altri confessori tutti i giorni feriali 10,00/12,00 – 17,30/19,30</t>
  </si>
  <si>
    <t>Offerta di collaborazione volontaria</t>
  </si>
  <si>
    <t>Richiesta collaborazione volontaria</t>
  </si>
  <si>
    <t>Persone disponibili a: dedicarsi all’ascolto dei bisognosi il mercoledì mattina (dispensario indumenti e alimenti, ore 8:30–11:00);  aiutare i catechisti nella preparazione alla Prima Comunione;  coprire qualche turno di segreteria (centralino, prima accoglienza, distribuzione di piccole elemosine, custodia);  collaborare nell’organizzazione di attività (pellegrinaggi, cineforum, iniziative culturali).</t>
  </si>
  <si>
    <t>Attività</t>
  </si>
  <si>
    <t>Servizi Caritas parrocchiale</t>
  </si>
  <si>
    <t>Distribuzione indumenti e generi alimentari, servizio di ascolto, piccoli sussidi economici. Mercoledì mattina 8:30-10:30, accesso dal campetto a sinistra della Basilica</t>
  </si>
  <si>
    <t>Ricerca di lavoro</t>
  </si>
  <si>
    <t>Centro di ascolto per persone bisognose e in cerca di lavoro. Mercoledì mattina tra le 8:30 e le 11, oppure chiedendo un appuntamento inviando una email a: lavoro@parrocchiasanteugenio.it</t>
  </si>
  <si>
    <t>Raccolta indumenti Caritas</t>
  </si>
  <si>
    <t>Indumenti usati in buone condizioni. Consegna dal lunedì al venerdì durante orari di segreteria (8:00-12:00 e 16:00-19:00), avvisando il personale. Solo giacconi e scarpe da uomo.</t>
  </si>
  <si>
    <t>Attività volontariato giovani</t>
  </si>
  <si>
    <t>Prima domenica di ogni mese, dalle 15:00 alle 18:00. Contattare don Juan Rego per maggiori dettagli. Email di don Juan Rego:  rego@pusc.it</t>
  </si>
  <si>
    <t>Informazioni Tiber Club</t>
  </si>
  <si>
    <t>Attraverso il Tiber Club si offre un percorso educativo per bambini/ragazzi basato su valori cristiani e metodo collaborativo. Consulta il sito Tiber Club: https://tiberclub.org/</t>
  </si>
  <si>
    <t>Informazioni Arcogrande</t>
  </si>
  <si>
    <t>Attraverso il Club Arcogrande, si offre un percorso educativo per bambine/ragazze basato su valori cristiani e metodo collaborativo. Consulta il sito Arcogrande: https://www.arcogrande.org/index.html</t>
  </si>
  <si>
    <t>Informazioni coro parrocchiale</t>
  </si>
  <si>
    <t>Anima le celebrazioni liturgiche dellla domenica e quelle più importanti nel corso dell'anno. Canto corale il giovedì dalle ore 20:00 alle 22:00</t>
  </si>
  <si>
    <t>Chi Siamo</t>
  </si>
  <si>
    <t>Nome parroco</t>
  </si>
  <si>
    <t>Don Miquel Delgado</t>
  </si>
  <si>
    <t>Nome vicario parrocchiale (viceparroco)</t>
  </si>
  <si>
    <t>Don Raimondo Sanfilippo</t>
  </si>
  <si>
    <t>Nome collaboratore parrocchiale</t>
  </si>
  <si>
    <t>Don Juan Rego</t>
  </si>
  <si>
    <t>Descrizione artistica esterno basilica</t>
  </si>
  <si>
    <t>Facciata in travertino ispirata al tardo '500 romano, sculture di A. Monteleone e F. Nagni, campanile di 33 metri con 8 campane. Dettagli sul sito.</t>
  </si>
  <si>
    <t>Descrizione artistica interno basilica</t>
  </si>
  <si>
    <r>
      <rPr>
        <rFont val="Aptos Narrow"/>
        <sz val="11.0"/>
      </rPr>
      <t xml:space="preserve">Pianta a croce latina a tre navate, sei cappelle laterali, undici altari. Opere di Francesco Messina, Venanzo Crocetti, Pericle Fazzini, G. Prini, Vico Consorti. Via Crucis in bronzo (opere vari artisti tra cui Manzù), vetrate istoriate. Dettagli qui: </t>
    </r>
    <r>
      <rPr>
        <rFont val="Aptos Narrow"/>
        <color rgb="FF1155CC"/>
        <sz val="11.0"/>
        <u/>
      </rPr>
      <t>https://www.parrocchiasanteugenio.it/cenni-artistici/</t>
    </r>
  </si>
  <si>
    <t>Territorio</t>
  </si>
  <si>
    <t>Confini territoriali parrocchia</t>
  </si>
  <si>
    <t>• Via Adolfo Cancani – 00197 ROMA • Via Antonio Allegri da Correggio – 00196 ROMA • Via Antonio Gramsci – 00197 ROMA • Via Armando Spadini – 00197 ROMA  • Via Bartolomeo Ammannati – 00197 ROMA • Piazzale delle Belle Arti – 00196 ROMA • Viale delle Belle Arti – 00196 ROMA • Viale Bruno Buozzi – 00197 ROMA (solo numeri dispari dal 109/A in poi) • Viale Bruno Buozzi – 00197 ROMA (solo numeri pari dal 90 in poi) • Via Cardinal De Luca – 00196 ROMA • Via Carlo Dolci – 00197 ROMA • Via Cesare Fracassini – 00196 ROMA (solo numeri dispari) • Via Cimabue – 00196 ROMA • Via Domenico Alberto Azuni – 00196 ROMA (solo numeri pari) • Piazzale Don Giovanni Minzoni – 00197 ROMA • Via Enrico Chiaradia – 00196 ROMA • Via Enrico Pessina – 00196 ROMA • Via Filippo Lippi – 00197 ROMA • Via Flaminia – 00196 ROMA (solo numeri dispari dal 109 al 217) • Via Flaminia – 00196 ROMA (solo numeri pari dal 158 al 162) • Lungotevere Flaminio – 00196 ROMA (tutti i numeri dal 16 al 38) • Via Francesco Jacovacci – 00197 ROMA • Via Giovanni Vincenzo Gravina – 00196 ROMA • Via Giuseppe Ceracchi – 00197 ROMA • Via Giuseppe De Notaris – 00197 ROMA • Via Giuseppe Mangili – 00197 ROMA (solo numeri dispari) • Via Jacopo da Ponte – 00197 ROMA • Via Luigi Canina – 00196 ROMA • Piazzale Manila – 00196 ROMA • Piazza Marina – 00196 ROMA (tutti i numeri dal 24 al 35) • Piazza della Marina – 00121 ROMA (tutti i numeri dal 24 al 35) • Piazzale Miguel Cervantes – 00197 ROMA • Largo dei Monti Parioli – 00197 ROMA • Via Monti Parioli – 00197 ROMA (solo numeri dispari dall’1 al 33) • Via Monti Parioli – 00197 ROMA (solo numeri pari dal 4 al 62) • Lungotevere delle Navi – 00196 ROMA • Via Omero – 00197 ROMA (solo numeri dispari) • Via Paolo Bartolini – 00197 ROMA • Salita dei Parioli – 00197 ROMA (solo numeri pari) • Via Pietro da Cortona – 00196 ROMA • Via Pietro Paolo Rubens – 00197 ROMA (solo numeri pari) • Via Pomarancio – 00197 ROMA • Via Sandro Botticelli – 00196 ROMA • Via Sassoferrato – 00197 ROMA • Via Sebastiano Conca – 00197 ROMA • Viale Tiziano – 00196 ROMA • Via Ulisse Aldrovandi – 00197 ROMA (solo numeri dispari dall’1 al 9) • Via Valmichi – 00197 ROMA (solo numeri dispari) • Via di Villa Giulia – 00196 ROMA • Piazzale di Villa Giulia – 00196 ROMA</t>
  </si>
  <si>
    <t>Luoghi sussidiari culto parrocchia</t>
  </si>
  <si>
    <t>Chiesa Rettoria Sant’Andrea del Vignola Via Flaminia 194 – 00196 ROMA. Viene celebrata una Messa per i copti cattolici ogni domenica nel pomeriggio. Gli orari sono affissi alla porta della chiesa. Arco Oscuro – Cappella della Divina Provvidenza – Viale Belle Arti rif. ingresso Museo Etrusco. Viene aperta a richiesta. Celebrazione della Messa il giovedì mattina alle 13.15 durante il mese di maggio.</t>
  </si>
  <si>
    <t>Territorio parrocchiale</t>
  </si>
  <si>
    <t>Enti presenti nel territorio parrocchia</t>
  </si>
  <si>
    <t>• Chiesa Rettoria Sant’Andrea del Vignola • Arco Oscuro – Cappella della Divina Provvidenza • Casa Generalizia «Villa San Francesco» (Serve di Gesù della Carità (S.d.J.) • Casa di Cura «Valle Giulia» • Casa di Riposo «Villa San Francesco» • Ambasciata d’Italia presso la Santa Sede</t>
  </si>
  <si>
    <t>Tipo edificio parrocchia</t>
  </si>
  <si>
    <t>Basilica minore</t>
  </si>
  <si>
    <t>Donazioni</t>
  </si>
  <si>
    <t>Modalità donazione</t>
  </si>
  <si>
    <t>Donazioni tramite sito web con carta di credito, PayPal, Satispay, Tinaba o Bonifico Bancario</t>
  </si>
  <si>
    <t>Dati bonifico bancario</t>
  </si>
  <si>
    <t>Beneficiario: Parrocchia Sant'Eugenio. IBAN: IT 77 U 030 6909 6061 0000 0125 525. Causale: "CONTRIBUTO PER LE ATTIVITÀ PASTORALI"</t>
  </si>
  <si>
    <t>Informazioni generali</t>
  </si>
  <si>
    <t>Informazioni su adempimenti finanziari</t>
  </si>
  <si>
    <t>La segreteria si occupa anche del pagamento di ciò che è dovuto a terzi.</t>
  </si>
  <si>
    <t>Attività parrocchiale</t>
  </si>
  <si>
    <t>Prossimo appuntamento del Cineforum</t>
  </si>
  <si>
    <r>
      <rPr>
        <rFont val="Arial"/>
        <sz val="11.0"/>
      </rPr>
      <t xml:space="preserve">Domenica 26 ottobre 2025 alle ore 16. Film: Io sono ancora qui. Scheda: </t>
    </r>
    <r>
      <rPr>
        <rFont val="Arial"/>
        <color rgb="FF1155CC"/>
        <sz val="11.0"/>
        <u/>
      </rPr>
      <t>bit.ly/cineugenio</t>
    </r>
  </si>
  <si>
    <t>Attività parrocchiali</t>
  </si>
  <si>
    <t>Mostra permanente della Sindone</t>
  </si>
  <si>
    <t>Sabato 29/11/2025 ore 11.00 - Appuntamento all'ATENEO PONTIFICIO REGINA APOSTOLORUM - APRA - Via degli Aldobrandeschi 190 (RM) - posti limitati, per adesioni info@parrocchiasanteugenio.it</t>
  </si>
  <si>
    <t>Informazioni pellegrinaggio Sette Chiese</t>
  </si>
  <si>
    <t>Sabato 30/05/2026 - Orari: 8:30-17:30. Appuntamento presso la fermata metro Ottaviano</t>
  </si>
  <si>
    <t>Visita mostra su Salvador Dalì</t>
  </si>
  <si>
    <t>Sabato 15 novembre, alle ore 11. Visita guidata. Posti limitati. Per partecipare è necessario inviare una messaggio di posta elettronica alla segreteria. Purtroppo i posti disponibili si sono già esauriti.</t>
  </si>
  <si>
    <t>Raccolta alimentare</t>
  </si>
  <si>
    <t>Presso Coop Colli Aniene. Sabato 13 dicembre dalle 9 alle 19. Coordina don Raimondo Sanfilippo: rasanfil@gmail.com</t>
  </si>
  <si>
    <t>Informazioni cineforum</t>
  </si>
  <si>
    <r>
      <rPr>
        <rFont val="Arial"/>
        <sz val="11.0"/>
      </rPr>
      <t xml:space="preserve">Ultima domenica del mese da ottobre a maggio, alle ore 16:00. Schede film qui: </t>
    </r>
    <r>
      <rPr>
        <rFont val="Arial"/>
        <color rgb="FF1155CC"/>
        <sz val="11.0"/>
        <u/>
      </rPr>
      <t>bit.ly/cineugenio</t>
    </r>
  </si>
  <si>
    <t>Date cineforum</t>
  </si>
  <si>
    <t>26.X, 30.XI, 28.XII 2025. 25.I, 22.II, 29.III, 26.IV e 31.V 2026</t>
  </si>
  <si>
    <t>Informazioni spazio poesia</t>
  </si>
  <si>
    <r>
      <rPr>
        <rFont val="Arial"/>
        <sz val="11.0"/>
      </rPr>
      <t xml:space="preserve">Invio contributi a: poesia@parrocchiasanteugenio.it. Poesie meritevoli esposte settimanalmente in parrocchia e pubblicate in una pagina web dedicata: </t>
    </r>
    <r>
      <rPr>
        <rFont val="Arial"/>
        <color rgb="FF1155CC"/>
        <sz val="11.0"/>
        <u/>
      </rPr>
      <t>bit.ly/spaziopoesia.</t>
    </r>
  </si>
  <si>
    <t>Raccolta alimentare a S. Eugenio</t>
  </si>
  <si>
    <t xml:space="preserve">Domenica 14 e 21 dicembre dalle ore 9-13 e dalle 17-20. Si prega di donare solo cibi a lunga conservazione. La raccolta verrà effettuata sotto i portici del cortile della parrocchia in viale delle Belle Arti 10 </t>
  </si>
  <si>
    <t>Mercatino di Natale - Dicembre solidale</t>
  </si>
  <si>
    <t xml:space="preserve">Sabato 13 e domenica 14 - sabato 20 e domenica 21 dicembre. Dalle ore 10.30/13.30 e dalle 17/20. Vendita di oggettistica e gastronomia a beneficio degli assistiti. L'esposizione si terrà nei locali parrocchiali </t>
  </si>
  <si>
    <t>Corso di danza</t>
  </si>
  <si>
    <t>Per bambine dai 5 anni e ragazze dagli 11 anni fino ai 15. Inizio giovedì 23 ottobre 2025, ore 16.30</t>
  </si>
  <si>
    <t>Pellegrinaggio a Santiago: informazioni generali</t>
  </si>
  <si>
    <t>Dal 27/06/ al 04/07 2026. Da Tui a Santiago in 6 tappe. Le principali informazioni (costi, date ecc.) si possono trovare nella pagina web della parrocchia: tinyurl.com/cammino26</t>
  </si>
  <si>
    <t>Pellegrinaggio a Santiago: sistemazioni</t>
  </si>
  <si>
    <t>Si può scegliere tra due tipi di alloggio:
Albergo: camere singole, doppie o triple. Tutto il necessario per dormire e asciugarsi è fornito dalla struttura.
Ostello: sistemazione in camere condivise (multiple). È necessario portare sacco a pelo oppure lenzuola e coperta, oltre all’occorrente per l’igiene personale.
Il costo varia in base alla tipologia selezionata.
La prenotazione dell’alloggio non include i pasti.
Il servizio trasporto bagagli è incluso nel prezzo di tutte le sistemazioni.
Costi delle sistemazioni:
Ostello 250€
Albergo singola 640€
Albergo doppia 475€
Albergo tripla 460€
Supplemento colazioni 70€</t>
  </si>
  <si>
    <t>Pellegrinaggio a Santiago: viaggio</t>
  </si>
  <si>
    <t>Proporremo un programma comune di viaggio a gennaio, quando le compagnie aeree avvranno definito la loro programmazione. Provvederemo anche ad organizzare il trasferimento in pullmann dall'aeroporto (presumibilmente di Porto) a Tui.</t>
  </si>
  <si>
    <t>Pellegrinaggio a Santiago: come iscriversi</t>
  </si>
  <si>
    <t>tinyurl.com/santiago26</t>
  </si>
  <si>
    <t>Piergiorgio Frassati - Il miracolo della canonizzazione</t>
  </si>
  <si>
    <t>11 novembre 2025 - ore 20.00 - Incontro con Padre Juan Manuel Gutierrez protagonista del miracolo. Per info: info@parrocchiasanteugenio.it  Ingresso dal cortile</t>
  </si>
  <si>
    <t>Pellegrinaggio a Santiago: indicazioni per il viaggio</t>
  </si>
  <si>
    <t>Da Roma, da dove parte la maggior parte delle persone, prenderemo un volo per Oporto. Di lì, con un pullmann contrattato da noi, ci recheremo a Tui, dove arriveremo nel pomeriggio. Lì dormiremo e quindi, il giorno dopo inizieremo il cammino.
Arrivati a Santiago dormiremo in città e il giorno dopo l'arrivo dall'aeroporto di Santiago o da quello di La Coruna (stiamo ragionando su questo) voleremo per il ritorno. Anche qui il transfer sarà organizzato.
Quindi al costo dell'alloggio bisognerà aggiungere quello dei pasti (molto variabile: altro è prepararsi dei panini, altro andare in un locale). quello dei transfer (lo diremo, ma si può supporre circa 80) e quello del volo (circa 200 A/R).</t>
  </si>
  <si>
    <t>Vietata</t>
  </si>
  <si>
    <t>Sostituzione</t>
  </si>
  <si>
    <t>Apprezziamo il suo apprezzamento</t>
  </si>
  <si>
    <t>La ringraziamo per il suo apprezzamento</t>
  </si>
  <si>
    <t>Gentile utente,</t>
  </si>
  <si>
    <t>Gentile fallbackSenderName,</t>
  </si>
  <si>
    <t>contattare la segreteria</t>
  </si>
  <si>
    <t>contattarci</t>
  </si>
  <si>
    <t>prenderà in carico</t>
  </si>
  <si>
    <t>ha preso in carico</t>
  </si>
  <si>
    <t>Data di inizio</t>
  </si>
  <si>
    <t>Data di termine</t>
  </si>
  <si>
    <t>Data della celebrazione liturgica</t>
  </si>
  <si>
    <t>Data ritiro di preparazione</t>
  </si>
  <si>
    <t>Incontro coi genitori dei comunicandi</t>
  </si>
  <si>
    <t>Cresima Adulti</t>
  </si>
  <si>
    <t>Requisiti padrino/madrina Cresima Adulti</t>
  </si>
  <si>
    <t>Chi si avvicina alla Cresima con l’intento di diventare padrino o madrina tenga presente che i criteri di idoneità per essi sono: aver compiuto 16 anni, non vivere in convivenza né essersi sposati solo civilmente, non aver procurato divorzio o essersi risposati civilmente, non essere genitore del cresimando, impegnarsi a condurre vita cristiana conforme alla fede.</t>
  </si>
  <si>
    <t>ISTRUZIONE VINCOLANTE E NECESSARIA</t>
  </si>
  <si>
    <t>Lingua della risposta</t>
  </si>
  <si>
    <t>Se l'interlocutore scrive in spagnolo, rispondere in spagnolo</t>
  </si>
  <si>
    <t>Sa l'interlocutore scrive in francese, rispondere in francese</t>
  </si>
  <si>
    <t>Se l'interlocutore scrive in tedesco, rispondere in tedesco</t>
  </si>
  <si>
    <t>ISTRUZIONE VINCOLANTE E PRIORITARIA</t>
  </si>
  <si>
    <t>Rispondere sempre nella lingua dell'email ricevuta</t>
  </si>
  <si>
    <t>Se l'interlocutore scrive in inglese, rispondere in inglese</t>
  </si>
  <si>
    <t>Lingua da usare nelle risposte</t>
  </si>
  <si>
    <t>Rispondere sempre nella lingua dell'interlocutore</t>
  </si>
  <si>
    <t>Istruzioni su saluto finale</t>
  </si>
  <si>
    <t>Chiudi ogni risposta con: "Cordiali saluti, Segreteria Parrocchia Sant'Eugenio"</t>
  </si>
  <si>
    <t>Stile di conversazione</t>
  </si>
  <si>
    <t>Regole per risposte successive</t>
  </si>
  <si>
    <t>Se l'oggetto dell'email inizia con "Re:" o "R:", significa che è una risposta. In questo caso, vai dritto al punto senza ripetere i ringraziamenti iniziali. Sii più diretto e conciso.</t>
  </si>
  <si>
    <t>Stile conversazione</t>
  </si>
  <si>
    <t>Se contiene solo un ringraziamento o una conferma di ricezione, considera come email da non processare, da non rispondere.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</si>
</sst>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0">
    <font>
      <sz val="10.0"/>
      <color rgb="FF000000"/>
      <name val="Arial"/>
      <scheme val="minor"/>
    </font>
    <font>
      <b/>
      <sz val="11.0"/>
      <color theme="1"/>
      <name val="Calibri"/>
    </font>
    <font>
      <color theme="1"/>
      <name val="Arial"/>
      <scheme val="minor"/>
    </font>
    <font>
      <sz val="11.0"/>
      <color theme="1"/>
      <name val="Aptos Narrow"/>
    </font>
    <font>
      <u/>
      <sz val="11.0"/>
      <color rgb="FF0000FF"/>
      <name val="Aptos Narrow"/>
    </font>
    <font>
      <color theme="1"/>
      <name val="Arial"/>
    </font>
    <font>
      <u/>
      <sz val="11.0"/>
      <color rgb="FF0000FF"/>
      <name val="Aptos Narrow"/>
    </font>
    <font>
      <sz val="11.0"/>
      <color theme="1"/>
      <name val="Arial"/>
    </font>
    <font>
      <u/>
      <sz val="11.0"/>
      <color rgb="FF0000FF"/>
      <name val="Arial"/>
    </font>
    <font>
      <b/>
      <color theme="1"/>
      <name val="Arial"/>
      <scheme val="minor"/>
    </font>
  </fonts>
  <fills count="5">
    <fill>
      <patternFill patternType="none"/>
    </fill>
    <fill>
      <patternFill patternType="lightGray"/>
    </fill>
    <fill>
      <patternFill patternType="solid">
        <fgColor rgb="FFDAF2D0"/>
        <bgColor rgb="FFDAF2D0"/>
      </patternFill>
    </fill>
    <fill>
      <patternFill patternType="solid">
        <fgColor rgb="FFF4CCCC"/>
        <bgColor rgb="FFF4CCCC"/>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8ED973"/>
      </right>
      <bottom style="thin">
        <color rgb="FF8ED973"/>
      </bottom>
    </border>
    <border>
      <left style="thin">
        <color rgb="FF8ED973"/>
      </left>
      <bottom style="thin">
        <color rgb="FF8ED973"/>
      </bottom>
    </border>
    <border>
      <bottom style="thin">
        <color rgb="FF8ED973"/>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horizontal="left" readingOrder="0" vertical="bottom"/>
    </xf>
    <xf borderId="2" fillId="0" fontId="1" numFmtId="0" xfId="0" applyAlignment="1" applyBorder="1" applyFont="1">
      <alignment horizontal="left" readingOrder="0" vertical="bottom"/>
    </xf>
    <xf borderId="0" fillId="0" fontId="2" numFmtId="0" xfId="0" applyAlignment="1" applyFont="1">
      <alignment horizontal="left" vertical="center"/>
    </xf>
    <xf borderId="3" fillId="2" fontId="3" numFmtId="0" xfId="0" applyAlignment="1" applyBorder="1" applyFill="1" applyFont="1">
      <alignment readingOrder="0" vertical="bottom"/>
    </xf>
    <xf borderId="0" fillId="0" fontId="2" numFmtId="0" xfId="0" applyAlignment="1" applyFont="1">
      <alignment vertical="center"/>
    </xf>
    <xf borderId="3" fillId="0" fontId="3" numFmtId="0" xfId="0" applyAlignment="1" applyBorder="1" applyFont="1">
      <alignment readingOrder="0" vertical="bottom"/>
    </xf>
    <xf borderId="3" fillId="2" fontId="4" numFmtId="0" xfId="0" applyAlignment="1" applyBorder="1" applyFont="1">
      <alignment readingOrder="0" vertical="bottom"/>
    </xf>
    <xf borderId="0" fillId="0" fontId="5" numFmtId="0" xfId="0" applyFont="1"/>
    <xf borderId="3" fillId="0" fontId="6" numFmtId="0" xfId="0" applyAlignment="1" applyBorder="1" applyFont="1">
      <alignment readingOrder="0" vertical="bottom"/>
    </xf>
    <xf borderId="3" fillId="0" fontId="7" numFmtId="0" xfId="0" applyAlignment="1" applyBorder="1" applyFont="1">
      <alignment readingOrder="0" vertical="bottom"/>
    </xf>
    <xf borderId="3" fillId="2" fontId="7" numFmtId="0" xfId="0" applyAlignment="1" applyBorder="1" applyFont="1">
      <alignment readingOrder="0" vertical="bottom"/>
    </xf>
    <xf borderId="3" fillId="0" fontId="3" numFmtId="164" xfId="0" applyAlignment="1" applyBorder="1" applyFont="1" applyNumberFormat="1">
      <alignment horizontal="left" readingOrder="0" vertical="bottom"/>
    </xf>
    <xf borderId="0" fillId="0" fontId="5" numFmtId="0" xfId="0" applyAlignment="1" applyFont="1">
      <alignment vertical="bottom"/>
    </xf>
    <xf borderId="3" fillId="3" fontId="7" numFmtId="0" xfId="0" applyAlignment="1" applyBorder="1" applyFill="1" applyFont="1">
      <alignment readingOrder="0" vertical="bottom"/>
    </xf>
    <xf borderId="3" fillId="3" fontId="8" numFmtId="0" xfId="0" applyAlignment="1" applyBorder="1" applyFont="1">
      <alignment readingOrder="0" vertical="bottom"/>
    </xf>
    <xf borderId="3" fillId="4" fontId="7" numFmtId="0" xfId="0" applyAlignment="1" applyBorder="1" applyFill="1" applyFont="1">
      <alignment readingOrder="0" vertical="bottom"/>
    </xf>
    <xf borderId="3" fillId="3" fontId="3" numFmtId="0" xfId="0" applyAlignment="1" applyBorder="1" applyFont="1">
      <alignment readingOrder="0" vertical="bottom"/>
    </xf>
    <xf borderId="3" fillId="3" fontId="7" numFmtId="0" xfId="0" applyAlignment="1" applyBorder="1" applyFont="1">
      <alignment readingOrder="0" vertical="center"/>
    </xf>
    <xf borderId="0" fillId="0" fontId="9" numFmtId="0" xfId="0" applyAlignment="1" applyFont="1">
      <alignment readingOrder="0"/>
    </xf>
    <xf borderId="0" fillId="0" fontId="9" numFmtId="0" xfId="0" applyFont="1"/>
    <xf borderId="0" fillId="0" fontId="2" numFmtId="0" xfId="0" applyAlignment="1" applyFont="1">
      <alignment readingOrder="0"/>
    </xf>
    <xf borderId="4" fillId="0" fontId="7" numFmtId="0" xfId="0" applyAlignment="1" applyBorder="1" applyFont="1">
      <alignment readingOrder="0" vertical="bottom"/>
    </xf>
    <xf borderId="5" fillId="0" fontId="7" numFmtId="0" xfId="0" applyAlignment="1" applyBorder="1" applyFont="1">
      <alignment readingOrder="0" vertical="bottom"/>
    </xf>
    <xf borderId="3" fillId="0" fontId="7" numFmtId="14" xfId="0" applyAlignment="1" applyBorder="1" applyFont="1" applyNumberFormat="1">
      <alignment horizontal="left" readingOrder="0" vertical="bottom"/>
    </xf>
    <xf borderId="4" fillId="2" fontId="7" numFmtId="0" xfId="0" applyAlignment="1" applyBorder="1" applyFont="1">
      <alignment readingOrder="0" vertical="bottom"/>
    </xf>
    <xf borderId="5" fillId="2" fontId="7" numFmtId="0" xfId="0" applyAlignment="1" applyBorder="1" applyFont="1">
      <alignment readingOrder="0" vertical="bottom"/>
    </xf>
    <xf borderId="3" fillId="2" fontId="3" numFmtId="164" xfId="0" applyAlignment="1" applyBorder="1" applyFont="1" applyNumberFormat="1">
      <alignment horizontal="left" readingOrder="0" vertical="bottom"/>
    </xf>
    <xf borderId="5" fillId="0" fontId="3" numFmtId="0" xfId="0" applyAlignment="1" applyBorder="1" applyFont="1">
      <alignment readingOrder="0" vertical="bottom"/>
    </xf>
    <xf borderId="4" fillId="2" fontId="3" numFmtId="0" xfId="0" applyAlignment="1" applyBorder="1" applyFont="1">
      <alignment readingOrder="0" vertical="bottom"/>
    </xf>
    <xf borderId="5" fillId="2" fontId="3" numFmtId="0" xfId="0" applyAlignment="1" applyBorder="1" applyFont="1">
      <alignment readingOrder="0" vertical="bottom"/>
    </xf>
    <xf borderId="0" fillId="0" fontId="2"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bit.ly/cineugenio" TargetMode="External"/><Relationship Id="rId10" Type="http://schemas.openxmlformats.org/officeDocument/2006/relationships/hyperlink" Target="http://bit.ly/cineugenio" TargetMode="External"/><Relationship Id="rId13" Type="http://schemas.openxmlformats.org/officeDocument/2006/relationships/hyperlink" Target="http://tinyurl.com/cammino26" TargetMode="External"/><Relationship Id="rId12" Type="http://schemas.openxmlformats.org/officeDocument/2006/relationships/hyperlink" Target="http://bit.ly/spaziopoesia." TargetMode="External"/><Relationship Id="rId1" Type="http://schemas.openxmlformats.org/officeDocument/2006/relationships/hyperlink" Target="http://www.parrocchiasanteugenio.it" TargetMode="External"/><Relationship Id="rId2" Type="http://schemas.openxmlformats.org/officeDocument/2006/relationships/hyperlink" Target="http://fb.com/basilica.santeugenio.9" TargetMode="External"/><Relationship Id="rId3" Type="http://schemas.openxmlformats.org/officeDocument/2006/relationships/hyperlink" Target="http://tinyurl.com/buonpastore" TargetMode="External"/><Relationship Id="rId4" Type="http://schemas.openxmlformats.org/officeDocument/2006/relationships/hyperlink" Target="http://tinyurl.com/cateche" TargetMode="External"/><Relationship Id="rId9" Type="http://schemas.openxmlformats.org/officeDocument/2006/relationships/hyperlink" Target="https://www.parrocchiasanteugenio.it/cenni-artistici/" TargetMode="External"/><Relationship Id="rId14" Type="http://schemas.openxmlformats.org/officeDocument/2006/relationships/drawing" Target="../drawings/drawing1.xml"/><Relationship Id="rId5" Type="http://schemas.openxmlformats.org/officeDocument/2006/relationships/hyperlink" Target="http://tinyurl.com/cateche" TargetMode="External"/><Relationship Id="rId6" Type="http://schemas.openxmlformats.org/officeDocument/2006/relationships/hyperlink" Target="http://tinyurl.com/cresimapr" TargetMode="External"/><Relationship Id="rId7" Type="http://schemas.openxmlformats.org/officeDocument/2006/relationships/hyperlink" Target="https://tinyurl.com/prematri" TargetMode="External"/><Relationship Id="rId8" Type="http://schemas.openxmlformats.org/officeDocument/2006/relationships/hyperlink" Target="http://www.12ceste.i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0.13"/>
    <col customWidth="1" min="2" max="2" width="61.25"/>
    <col customWidth="1" min="3" max="3" width="264.38"/>
  </cols>
  <sheetData>
    <row r="1">
      <c r="A1" s="1" t="s">
        <v>0</v>
      </c>
      <c r="B1" s="2" t="s">
        <v>1</v>
      </c>
      <c r="C1" s="2" t="s">
        <v>2</v>
      </c>
      <c r="D1" s="3"/>
      <c r="E1" s="3"/>
      <c r="F1" s="3"/>
      <c r="G1" s="3"/>
      <c r="H1" s="3"/>
      <c r="I1" s="3"/>
      <c r="J1" s="3"/>
      <c r="K1" s="3"/>
      <c r="L1" s="3"/>
      <c r="M1" s="3"/>
      <c r="N1" s="3"/>
      <c r="O1" s="3"/>
      <c r="P1" s="3"/>
      <c r="Q1" s="3"/>
      <c r="R1" s="3"/>
      <c r="S1" s="3"/>
      <c r="T1" s="3"/>
      <c r="U1" s="3"/>
      <c r="V1" s="3"/>
      <c r="W1" s="3"/>
      <c r="X1" s="3"/>
      <c r="Y1" s="3"/>
      <c r="Z1" s="3"/>
    </row>
    <row r="2">
      <c r="A2" s="4" t="s">
        <v>3</v>
      </c>
      <c r="B2" s="4" t="s">
        <v>4</v>
      </c>
      <c r="C2" s="4" t="s">
        <v>5</v>
      </c>
      <c r="D2" s="5"/>
      <c r="E2" s="5"/>
      <c r="F2" s="5"/>
      <c r="G2" s="5"/>
      <c r="H2" s="5"/>
      <c r="I2" s="5"/>
      <c r="J2" s="5"/>
      <c r="K2" s="5"/>
      <c r="L2" s="5"/>
      <c r="M2" s="5"/>
      <c r="N2" s="5"/>
      <c r="O2" s="5"/>
      <c r="P2" s="5"/>
      <c r="Q2" s="5"/>
      <c r="R2" s="5"/>
      <c r="S2" s="5"/>
      <c r="T2" s="5"/>
      <c r="U2" s="5"/>
      <c r="V2" s="5"/>
      <c r="W2" s="5"/>
      <c r="X2" s="5"/>
      <c r="Y2" s="5"/>
      <c r="Z2" s="5"/>
    </row>
    <row r="3">
      <c r="A3" s="6" t="s">
        <v>3</v>
      </c>
      <c r="B3" s="6" t="s">
        <v>6</v>
      </c>
      <c r="C3" s="6" t="s">
        <v>7</v>
      </c>
      <c r="D3" s="5"/>
      <c r="E3" s="5"/>
      <c r="F3" s="5"/>
      <c r="G3" s="5"/>
      <c r="H3" s="5"/>
      <c r="I3" s="5"/>
      <c r="J3" s="5"/>
      <c r="K3" s="5"/>
      <c r="L3" s="5"/>
      <c r="M3" s="5"/>
      <c r="N3" s="5"/>
      <c r="O3" s="5"/>
      <c r="P3" s="5"/>
      <c r="Q3" s="5"/>
      <c r="R3" s="5"/>
      <c r="S3" s="5"/>
      <c r="T3" s="5"/>
      <c r="U3" s="5"/>
      <c r="V3" s="5"/>
      <c r="W3" s="5"/>
      <c r="X3" s="5"/>
      <c r="Y3" s="5"/>
      <c r="Z3" s="5"/>
    </row>
    <row r="4">
      <c r="A4" s="4" t="s">
        <v>3</v>
      </c>
      <c r="B4" s="4" t="s">
        <v>8</v>
      </c>
      <c r="C4" s="7" t="s">
        <v>9</v>
      </c>
      <c r="D4" s="8"/>
      <c r="E4" s="8"/>
      <c r="F4" s="8"/>
      <c r="G4" s="8"/>
      <c r="H4" s="8"/>
      <c r="I4" s="8"/>
      <c r="J4" s="8"/>
      <c r="K4" s="8"/>
      <c r="L4" s="8"/>
      <c r="M4" s="8"/>
      <c r="N4" s="8"/>
      <c r="O4" s="8"/>
      <c r="P4" s="8"/>
      <c r="Q4" s="8"/>
      <c r="R4" s="8"/>
      <c r="S4" s="8"/>
      <c r="T4" s="8"/>
      <c r="U4" s="8"/>
      <c r="V4" s="8"/>
      <c r="W4" s="8"/>
      <c r="X4" s="8"/>
      <c r="Y4" s="8"/>
      <c r="Z4" s="8"/>
    </row>
    <row r="5">
      <c r="A5" s="6" t="s">
        <v>3</v>
      </c>
      <c r="B5" s="6" t="s">
        <v>10</v>
      </c>
      <c r="C5" s="9" t="s">
        <v>11</v>
      </c>
      <c r="D5" s="8"/>
      <c r="E5" s="8"/>
      <c r="F5" s="8"/>
      <c r="G5" s="8"/>
      <c r="H5" s="8"/>
      <c r="I5" s="8"/>
      <c r="J5" s="8"/>
      <c r="K5" s="8"/>
      <c r="L5" s="8"/>
      <c r="M5" s="8"/>
      <c r="N5" s="8"/>
      <c r="O5" s="8"/>
      <c r="P5" s="8"/>
      <c r="Q5" s="8"/>
      <c r="R5" s="8"/>
      <c r="S5" s="8"/>
      <c r="T5" s="8"/>
      <c r="U5" s="8"/>
      <c r="V5" s="8"/>
      <c r="W5" s="8"/>
      <c r="X5" s="8"/>
      <c r="Y5" s="8"/>
      <c r="Z5" s="8"/>
    </row>
    <row r="6">
      <c r="A6" s="4" t="s">
        <v>3</v>
      </c>
      <c r="B6" s="4" t="s">
        <v>12</v>
      </c>
      <c r="C6" s="4" t="s">
        <v>13</v>
      </c>
      <c r="D6" s="5"/>
      <c r="E6" s="5"/>
      <c r="F6" s="5"/>
      <c r="G6" s="5"/>
      <c r="H6" s="5"/>
      <c r="I6" s="5"/>
      <c r="J6" s="5"/>
      <c r="K6" s="5"/>
      <c r="L6" s="5"/>
      <c r="M6" s="5"/>
      <c r="N6" s="5"/>
      <c r="O6" s="5"/>
      <c r="P6" s="5"/>
      <c r="Q6" s="5"/>
      <c r="R6" s="5"/>
      <c r="S6" s="5"/>
      <c r="T6" s="5"/>
      <c r="U6" s="5"/>
      <c r="V6" s="5"/>
      <c r="W6" s="5"/>
      <c r="X6" s="5"/>
      <c r="Y6" s="5"/>
      <c r="Z6" s="5"/>
    </row>
    <row r="7">
      <c r="A7" s="4" t="s">
        <v>14</v>
      </c>
      <c r="B7" s="4" t="s">
        <v>15</v>
      </c>
      <c r="C7" s="4" t="s">
        <v>16</v>
      </c>
      <c r="D7" s="5"/>
      <c r="E7" s="5"/>
      <c r="F7" s="5"/>
      <c r="G7" s="5"/>
      <c r="H7" s="5"/>
      <c r="I7" s="5"/>
      <c r="J7" s="5"/>
      <c r="K7" s="5"/>
      <c r="L7" s="5"/>
      <c r="M7" s="5"/>
      <c r="N7" s="5"/>
      <c r="O7" s="5"/>
      <c r="P7" s="5"/>
      <c r="Q7" s="5"/>
      <c r="R7" s="5"/>
      <c r="S7" s="5"/>
      <c r="T7" s="5"/>
      <c r="U7" s="5"/>
      <c r="V7" s="5"/>
      <c r="W7" s="5"/>
      <c r="X7" s="5"/>
      <c r="Y7" s="5"/>
      <c r="Z7" s="5"/>
    </row>
    <row r="8">
      <c r="A8" s="6" t="s">
        <v>14</v>
      </c>
      <c r="B8" s="6" t="s">
        <v>15</v>
      </c>
      <c r="C8" s="6" t="s">
        <v>17</v>
      </c>
      <c r="D8" s="5"/>
      <c r="E8" s="5"/>
      <c r="F8" s="5"/>
      <c r="G8" s="5"/>
      <c r="H8" s="5"/>
      <c r="I8" s="5"/>
      <c r="J8" s="5"/>
      <c r="K8" s="5"/>
      <c r="L8" s="5"/>
      <c r="M8" s="5"/>
      <c r="N8" s="5"/>
      <c r="O8" s="5"/>
      <c r="P8" s="5"/>
      <c r="Q8" s="5"/>
      <c r="R8" s="5"/>
      <c r="S8" s="5"/>
      <c r="T8" s="5"/>
      <c r="U8" s="5"/>
      <c r="V8" s="5"/>
      <c r="W8" s="5"/>
      <c r="X8" s="5"/>
      <c r="Y8" s="5"/>
      <c r="Z8" s="5"/>
    </row>
    <row r="9">
      <c r="A9" s="6" t="s">
        <v>14</v>
      </c>
      <c r="B9" s="6" t="s">
        <v>18</v>
      </c>
      <c r="C9" s="6" t="s">
        <v>19</v>
      </c>
      <c r="D9" s="5"/>
      <c r="E9" s="5"/>
      <c r="F9" s="5"/>
      <c r="G9" s="5"/>
      <c r="H9" s="5"/>
      <c r="I9" s="5"/>
      <c r="J9" s="5"/>
      <c r="K9" s="5"/>
      <c r="L9" s="5"/>
      <c r="M9" s="5"/>
      <c r="N9" s="5"/>
      <c r="O9" s="5"/>
      <c r="P9" s="5"/>
      <c r="Q9" s="5"/>
      <c r="R9" s="5"/>
      <c r="S9" s="5"/>
      <c r="T9" s="5"/>
      <c r="U9" s="5"/>
      <c r="V9" s="5"/>
      <c r="W9" s="5"/>
      <c r="X9" s="5"/>
      <c r="Y9" s="5"/>
      <c r="Z9" s="5"/>
    </row>
    <row r="10">
      <c r="A10" s="4" t="s">
        <v>20</v>
      </c>
      <c r="B10" s="4" t="s">
        <v>21</v>
      </c>
      <c r="C10" s="4" t="s">
        <v>22</v>
      </c>
      <c r="D10" s="5"/>
      <c r="E10" s="5"/>
      <c r="F10" s="5"/>
      <c r="G10" s="5"/>
      <c r="H10" s="5"/>
      <c r="I10" s="5"/>
      <c r="J10" s="5"/>
      <c r="K10" s="5"/>
      <c r="L10" s="5"/>
      <c r="M10" s="5"/>
      <c r="N10" s="5"/>
      <c r="O10" s="5"/>
      <c r="P10" s="5"/>
      <c r="Q10" s="5"/>
      <c r="R10" s="5"/>
      <c r="S10" s="5"/>
      <c r="T10" s="5"/>
      <c r="U10" s="5"/>
      <c r="V10" s="5"/>
      <c r="W10" s="5"/>
      <c r="X10" s="5"/>
      <c r="Y10" s="5"/>
      <c r="Z10" s="5"/>
    </row>
    <row r="11">
      <c r="A11" s="6" t="s">
        <v>20</v>
      </c>
      <c r="B11" s="6" t="s">
        <v>23</v>
      </c>
      <c r="C11" s="6" t="s">
        <v>24</v>
      </c>
      <c r="D11" s="5"/>
      <c r="E11" s="5"/>
      <c r="F11" s="5"/>
      <c r="G11" s="5"/>
      <c r="H11" s="5"/>
      <c r="I11" s="5"/>
      <c r="J11" s="5"/>
      <c r="K11" s="5"/>
      <c r="L11" s="5"/>
      <c r="M11" s="5"/>
      <c r="N11" s="5"/>
      <c r="O11" s="5"/>
      <c r="P11" s="5"/>
      <c r="Q11" s="5"/>
      <c r="R11" s="5"/>
      <c r="S11" s="5"/>
      <c r="T11" s="5"/>
      <c r="U11" s="5"/>
      <c r="V11" s="5"/>
      <c r="W11" s="5"/>
      <c r="X11" s="5"/>
      <c r="Y11" s="5"/>
      <c r="Z11" s="5"/>
    </row>
    <row r="12">
      <c r="A12" s="4" t="s">
        <v>20</v>
      </c>
      <c r="B12" s="4" t="s">
        <v>25</v>
      </c>
      <c r="C12" s="4" t="s">
        <v>26</v>
      </c>
      <c r="D12" s="5"/>
      <c r="E12" s="5"/>
      <c r="F12" s="5"/>
      <c r="G12" s="5"/>
      <c r="H12" s="5"/>
      <c r="I12" s="5"/>
      <c r="J12" s="5"/>
      <c r="K12" s="5"/>
      <c r="L12" s="5"/>
      <c r="M12" s="5"/>
      <c r="N12" s="5"/>
      <c r="O12" s="5"/>
      <c r="P12" s="5"/>
      <c r="Q12" s="5"/>
      <c r="R12" s="5"/>
      <c r="S12" s="5"/>
      <c r="T12" s="5"/>
      <c r="U12" s="5"/>
      <c r="V12" s="5"/>
      <c r="W12" s="5"/>
      <c r="X12" s="5"/>
      <c r="Y12" s="5"/>
      <c r="Z12" s="5"/>
    </row>
    <row r="13">
      <c r="A13" s="6" t="s">
        <v>20</v>
      </c>
      <c r="B13" s="6" t="s">
        <v>27</v>
      </c>
      <c r="C13" s="10" t="s">
        <v>28</v>
      </c>
      <c r="D13" s="5"/>
      <c r="E13" s="5"/>
      <c r="F13" s="5"/>
      <c r="G13" s="5"/>
      <c r="H13" s="5"/>
      <c r="I13" s="5"/>
      <c r="J13" s="5"/>
      <c r="K13" s="5"/>
      <c r="L13" s="5"/>
      <c r="M13" s="5"/>
      <c r="N13" s="5"/>
      <c r="O13" s="5"/>
      <c r="P13" s="5"/>
      <c r="Q13" s="5"/>
      <c r="R13" s="5"/>
      <c r="S13" s="5"/>
      <c r="T13" s="5"/>
      <c r="U13" s="5"/>
      <c r="V13" s="5"/>
      <c r="W13" s="5"/>
      <c r="X13" s="5"/>
      <c r="Y13" s="5"/>
      <c r="Z13" s="5"/>
    </row>
    <row r="14">
      <c r="A14" s="4" t="s">
        <v>20</v>
      </c>
      <c r="B14" s="4" t="s">
        <v>29</v>
      </c>
      <c r="C14" s="4" t="s">
        <v>30</v>
      </c>
      <c r="D14" s="5"/>
      <c r="E14" s="5"/>
      <c r="F14" s="5"/>
      <c r="G14" s="5"/>
      <c r="H14" s="5"/>
      <c r="I14" s="5"/>
      <c r="J14" s="5"/>
      <c r="K14" s="5"/>
      <c r="L14" s="5"/>
      <c r="M14" s="5"/>
      <c r="N14" s="5"/>
      <c r="O14" s="5"/>
      <c r="P14" s="5"/>
      <c r="Q14" s="5"/>
      <c r="R14" s="5"/>
      <c r="S14" s="5"/>
      <c r="T14" s="5"/>
      <c r="U14" s="5"/>
      <c r="V14" s="5"/>
      <c r="W14" s="5"/>
      <c r="X14" s="5"/>
      <c r="Y14" s="5"/>
      <c r="Z14" s="5"/>
    </row>
    <row r="15">
      <c r="A15" s="6" t="s">
        <v>20</v>
      </c>
      <c r="B15" s="6" t="s">
        <v>31</v>
      </c>
      <c r="C15" s="6" t="s">
        <v>32</v>
      </c>
      <c r="D15" s="5"/>
      <c r="E15" s="5"/>
      <c r="F15" s="5"/>
      <c r="G15" s="5"/>
      <c r="H15" s="5"/>
      <c r="I15" s="5"/>
      <c r="J15" s="5"/>
      <c r="K15" s="5"/>
      <c r="L15" s="5"/>
      <c r="M15" s="5"/>
      <c r="N15" s="5"/>
      <c r="O15" s="5"/>
      <c r="P15" s="5"/>
      <c r="Q15" s="5"/>
      <c r="R15" s="5"/>
      <c r="S15" s="5"/>
      <c r="T15" s="5"/>
      <c r="U15" s="5"/>
      <c r="V15" s="5"/>
      <c r="W15" s="5"/>
      <c r="X15" s="5"/>
      <c r="Y15" s="5"/>
      <c r="Z15" s="5"/>
    </row>
    <row r="16">
      <c r="A16" s="4" t="s">
        <v>20</v>
      </c>
      <c r="B16" s="4" t="s">
        <v>33</v>
      </c>
      <c r="C16" s="4" t="s">
        <v>34</v>
      </c>
      <c r="D16" s="5"/>
      <c r="E16" s="5"/>
      <c r="F16" s="5"/>
      <c r="G16" s="5"/>
      <c r="H16" s="5"/>
      <c r="I16" s="5"/>
      <c r="J16" s="5"/>
      <c r="K16" s="5"/>
      <c r="L16" s="5"/>
      <c r="M16" s="5"/>
      <c r="N16" s="5"/>
      <c r="O16" s="5"/>
      <c r="P16" s="5"/>
      <c r="Q16" s="5"/>
      <c r="R16" s="5"/>
      <c r="S16" s="5"/>
      <c r="T16" s="5"/>
      <c r="U16" s="5"/>
      <c r="V16" s="5"/>
      <c r="W16" s="5"/>
      <c r="X16" s="5"/>
      <c r="Y16" s="5"/>
      <c r="Z16" s="5"/>
    </row>
    <row r="17">
      <c r="A17" s="6" t="s">
        <v>20</v>
      </c>
      <c r="B17" s="6" t="s">
        <v>35</v>
      </c>
      <c r="C17" s="6" t="s">
        <v>36</v>
      </c>
      <c r="D17" s="5"/>
      <c r="E17" s="5"/>
      <c r="F17" s="5"/>
      <c r="G17" s="5"/>
      <c r="H17" s="5"/>
      <c r="I17" s="5"/>
      <c r="J17" s="5"/>
      <c r="K17" s="5"/>
      <c r="L17" s="5"/>
      <c r="M17" s="5"/>
      <c r="N17" s="5"/>
      <c r="O17" s="5"/>
      <c r="P17" s="5"/>
      <c r="Q17" s="5"/>
      <c r="R17" s="5"/>
      <c r="S17" s="5"/>
      <c r="T17" s="5"/>
      <c r="U17" s="5"/>
      <c r="V17" s="5"/>
      <c r="W17" s="5"/>
      <c r="X17" s="5"/>
      <c r="Y17" s="5"/>
      <c r="Z17" s="5"/>
    </row>
    <row r="18">
      <c r="A18" s="4" t="s">
        <v>20</v>
      </c>
      <c r="B18" s="4" t="s">
        <v>37</v>
      </c>
      <c r="C18" s="4" t="s">
        <v>38</v>
      </c>
      <c r="D18" s="5"/>
      <c r="E18" s="5"/>
      <c r="F18" s="5"/>
      <c r="G18" s="5"/>
      <c r="H18" s="5"/>
      <c r="I18" s="5"/>
      <c r="J18" s="5"/>
      <c r="K18" s="5"/>
      <c r="L18" s="5"/>
      <c r="M18" s="5"/>
      <c r="N18" s="5"/>
      <c r="O18" s="5"/>
      <c r="P18" s="5"/>
      <c r="Q18" s="5"/>
      <c r="R18" s="5"/>
      <c r="S18" s="5"/>
      <c r="T18" s="5"/>
      <c r="U18" s="5"/>
      <c r="V18" s="5"/>
      <c r="W18" s="5"/>
      <c r="X18" s="5"/>
      <c r="Y18" s="5"/>
      <c r="Z18" s="5"/>
    </row>
    <row r="19">
      <c r="A19" s="6" t="s">
        <v>20</v>
      </c>
      <c r="B19" s="6" t="s">
        <v>39</v>
      </c>
      <c r="C19" s="6" t="s">
        <v>40</v>
      </c>
      <c r="D19" s="5"/>
      <c r="E19" s="5"/>
      <c r="F19" s="5"/>
      <c r="G19" s="5"/>
      <c r="H19" s="5"/>
      <c r="I19" s="5"/>
      <c r="J19" s="5"/>
      <c r="K19" s="5"/>
      <c r="L19" s="5"/>
      <c r="M19" s="5"/>
      <c r="N19" s="5"/>
      <c r="O19" s="5"/>
      <c r="P19" s="5"/>
      <c r="Q19" s="5"/>
      <c r="R19" s="5"/>
      <c r="S19" s="5"/>
      <c r="T19" s="5"/>
      <c r="U19" s="5"/>
      <c r="V19" s="5"/>
      <c r="W19" s="5"/>
      <c r="X19" s="5"/>
      <c r="Y19" s="5"/>
      <c r="Z19" s="5"/>
    </row>
    <row r="20">
      <c r="A20" s="4" t="s">
        <v>20</v>
      </c>
      <c r="B20" s="4" t="s">
        <v>41</v>
      </c>
      <c r="C20" s="4" t="s">
        <v>42</v>
      </c>
      <c r="D20" s="5"/>
      <c r="E20" s="5"/>
      <c r="F20" s="5"/>
      <c r="G20" s="5"/>
      <c r="H20" s="5"/>
      <c r="I20" s="5"/>
      <c r="J20" s="5"/>
      <c r="K20" s="5"/>
      <c r="L20" s="5"/>
      <c r="M20" s="5"/>
      <c r="N20" s="5"/>
      <c r="O20" s="5"/>
      <c r="P20" s="5"/>
      <c r="Q20" s="5"/>
      <c r="R20" s="5"/>
      <c r="S20" s="5"/>
      <c r="T20" s="5"/>
      <c r="U20" s="5"/>
      <c r="V20" s="5"/>
      <c r="W20" s="5"/>
      <c r="X20" s="5"/>
      <c r="Y20" s="5"/>
      <c r="Z20" s="5"/>
    </row>
    <row r="21">
      <c r="A21" s="6" t="s">
        <v>20</v>
      </c>
      <c r="B21" s="6" t="s">
        <v>43</v>
      </c>
      <c r="C21" s="6" t="s">
        <v>44</v>
      </c>
      <c r="D21" s="8"/>
      <c r="E21" s="8"/>
      <c r="F21" s="8"/>
      <c r="G21" s="8"/>
      <c r="H21" s="8"/>
      <c r="I21" s="8"/>
      <c r="J21" s="8"/>
      <c r="K21" s="8"/>
      <c r="L21" s="8"/>
      <c r="M21" s="8"/>
      <c r="N21" s="8"/>
      <c r="O21" s="8"/>
      <c r="P21" s="8"/>
      <c r="Q21" s="8"/>
      <c r="R21" s="8"/>
      <c r="S21" s="8"/>
      <c r="T21" s="8"/>
      <c r="U21" s="8"/>
      <c r="V21" s="8"/>
      <c r="W21" s="8"/>
      <c r="X21" s="8"/>
      <c r="Y21" s="8"/>
      <c r="Z21" s="8"/>
    </row>
    <row r="22">
      <c r="A22" s="4" t="s">
        <v>45</v>
      </c>
      <c r="B22" s="4" t="s">
        <v>46</v>
      </c>
      <c r="C22" s="4" t="s">
        <v>47</v>
      </c>
      <c r="D22" s="5"/>
      <c r="E22" s="5"/>
      <c r="F22" s="5"/>
      <c r="G22" s="5"/>
      <c r="H22" s="5"/>
      <c r="I22" s="5"/>
      <c r="J22" s="5"/>
      <c r="K22" s="5"/>
      <c r="L22" s="5"/>
      <c r="M22" s="5"/>
      <c r="N22" s="5"/>
      <c r="O22" s="5"/>
      <c r="P22" s="5"/>
      <c r="Q22" s="5"/>
      <c r="R22" s="5"/>
      <c r="S22" s="5"/>
      <c r="T22" s="5"/>
      <c r="U22" s="5"/>
      <c r="V22" s="5"/>
      <c r="W22" s="5"/>
      <c r="X22" s="5"/>
      <c r="Y22" s="5"/>
      <c r="Z22" s="5"/>
    </row>
    <row r="23">
      <c r="A23" s="6" t="s">
        <v>48</v>
      </c>
      <c r="B23" s="6" t="s">
        <v>49</v>
      </c>
      <c r="C23" s="6" t="s">
        <v>50</v>
      </c>
      <c r="D23" s="5"/>
      <c r="E23" s="5"/>
      <c r="F23" s="5"/>
      <c r="G23" s="5"/>
      <c r="H23" s="5"/>
      <c r="I23" s="5"/>
      <c r="J23" s="5"/>
      <c r="K23" s="5"/>
      <c r="L23" s="5"/>
      <c r="M23" s="5"/>
      <c r="N23" s="5"/>
      <c r="O23" s="5"/>
      <c r="P23" s="5"/>
      <c r="Q23" s="5"/>
      <c r="R23" s="5"/>
      <c r="S23" s="5"/>
      <c r="T23" s="5"/>
      <c r="U23" s="5"/>
      <c r="V23" s="5"/>
      <c r="W23" s="5"/>
      <c r="X23" s="5"/>
      <c r="Y23" s="5"/>
      <c r="Z23" s="5"/>
    </row>
    <row r="24">
      <c r="A24" s="4" t="s">
        <v>48</v>
      </c>
      <c r="B24" s="4" t="s">
        <v>51</v>
      </c>
      <c r="C24" s="4" t="s">
        <v>52</v>
      </c>
      <c r="D24" s="5"/>
      <c r="E24" s="5"/>
      <c r="F24" s="5"/>
      <c r="G24" s="5"/>
      <c r="H24" s="5"/>
      <c r="I24" s="5"/>
      <c r="J24" s="5"/>
      <c r="K24" s="5"/>
      <c r="L24" s="5"/>
      <c r="M24" s="5"/>
      <c r="N24" s="5"/>
      <c r="O24" s="5"/>
      <c r="P24" s="5"/>
      <c r="Q24" s="5"/>
      <c r="R24" s="5"/>
      <c r="S24" s="5"/>
      <c r="T24" s="5"/>
      <c r="U24" s="5"/>
      <c r="V24" s="5"/>
      <c r="W24" s="5"/>
      <c r="X24" s="5"/>
      <c r="Y24" s="5"/>
      <c r="Z24" s="5"/>
    </row>
    <row r="25">
      <c r="A25" s="6" t="s">
        <v>53</v>
      </c>
      <c r="B25" s="6" t="s">
        <v>54</v>
      </c>
      <c r="C25" s="6" t="s">
        <v>55</v>
      </c>
      <c r="D25" s="5"/>
      <c r="E25" s="5"/>
      <c r="F25" s="5"/>
      <c r="G25" s="5"/>
      <c r="H25" s="5"/>
      <c r="I25" s="5"/>
      <c r="J25" s="5"/>
      <c r="K25" s="5"/>
      <c r="L25" s="5"/>
      <c r="M25" s="5"/>
      <c r="N25" s="5"/>
      <c r="O25" s="5"/>
      <c r="P25" s="5"/>
      <c r="Q25" s="5"/>
      <c r="R25" s="5"/>
      <c r="S25" s="5"/>
      <c r="T25" s="5"/>
      <c r="U25" s="5"/>
      <c r="V25" s="5"/>
      <c r="W25" s="5"/>
      <c r="X25" s="5"/>
      <c r="Y25" s="5"/>
      <c r="Z25" s="5"/>
    </row>
    <row r="26">
      <c r="A26" s="4" t="s">
        <v>53</v>
      </c>
      <c r="B26" s="4" t="s">
        <v>56</v>
      </c>
      <c r="C26" s="4" t="s">
        <v>57</v>
      </c>
      <c r="D26" s="5"/>
      <c r="E26" s="5"/>
      <c r="F26" s="5"/>
      <c r="G26" s="5"/>
      <c r="H26" s="5"/>
      <c r="I26" s="5"/>
      <c r="J26" s="5"/>
      <c r="K26" s="5"/>
      <c r="L26" s="5"/>
      <c r="M26" s="5"/>
      <c r="N26" s="5"/>
      <c r="O26" s="5"/>
      <c r="P26" s="5"/>
      <c r="Q26" s="5"/>
      <c r="R26" s="5"/>
      <c r="S26" s="5"/>
      <c r="T26" s="5"/>
      <c r="U26" s="5"/>
      <c r="V26" s="5"/>
      <c r="W26" s="5"/>
      <c r="X26" s="5"/>
      <c r="Y26" s="5"/>
      <c r="Z26" s="5"/>
    </row>
    <row r="27">
      <c r="A27" s="6" t="s">
        <v>58</v>
      </c>
      <c r="B27" s="6" t="s">
        <v>59</v>
      </c>
      <c r="C27" s="6" t="s">
        <v>60</v>
      </c>
      <c r="D27" s="5"/>
      <c r="E27" s="5"/>
      <c r="F27" s="5"/>
      <c r="G27" s="5"/>
      <c r="H27" s="5"/>
      <c r="I27" s="5"/>
      <c r="J27" s="5"/>
      <c r="K27" s="5"/>
      <c r="L27" s="5"/>
      <c r="M27" s="5"/>
      <c r="N27" s="5"/>
      <c r="O27" s="5"/>
      <c r="P27" s="5"/>
      <c r="Q27" s="5"/>
      <c r="R27" s="5"/>
      <c r="S27" s="5"/>
      <c r="T27" s="5"/>
      <c r="U27" s="5"/>
      <c r="V27" s="5"/>
      <c r="W27" s="5"/>
      <c r="X27" s="5"/>
      <c r="Y27" s="5"/>
      <c r="Z27" s="5"/>
    </row>
    <row r="28">
      <c r="A28" s="4" t="s">
        <v>58</v>
      </c>
      <c r="B28" s="4" t="s">
        <v>61</v>
      </c>
      <c r="C28" s="4" t="s">
        <v>62</v>
      </c>
      <c r="D28" s="5"/>
      <c r="E28" s="5"/>
      <c r="F28" s="5"/>
      <c r="G28" s="5"/>
      <c r="H28" s="5"/>
      <c r="I28" s="5"/>
      <c r="J28" s="5"/>
      <c r="K28" s="5"/>
      <c r="L28" s="5"/>
      <c r="M28" s="5"/>
      <c r="N28" s="5"/>
      <c r="O28" s="5"/>
      <c r="P28" s="5"/>
      <c r="Q28" s="5"/>
      <c r="R28" s="5"/>
      <c r="S28" s="5"/>
      <c r="T28" s="5"/>
      <c r="U28" s="5"/>
      <c r="V28" s="5"/>
      <c r="W28" s="5"/>
      <c r="X28" s="5"/>
      <c r="Y28" s="5"/>
      <c r="Z28" s="5"/>
    </row>
    <row r="29">
      <c r="A29" s="6" t="s">
        <v>58</v>
      </c>
      <c r="B29" s="6" t="s">
        <v>63</v>
      </c>
      <c r="C29" s="6" t="s">
        <v>64</v>
      </c>
      <c r="D29" s="5"/>
      <c r="E29" s="5"/>
      <c r="F29" s="5"/>
      <c r="G29" s="5"/>
      <c r="H29" s="5"/>
      <c r="I29" s="5"/>
      <c r="J29" s="5"/>
      <c r="K29" s="5"/>
      <c r="L29" s="5"/>
      <c r="M29" s="5"/>
      <c r="N29" s="5"/>
      <c r="O29" s="5"/>
      <c r="P29" s="5"/>
      <c r="Q29" s="5"/>
      <c r="R29" s="5"/>
      <c r="S29" s="5"/>
      <c r="T29" s="5"/>
      <c r="U29" s="5"/>
      <c r="V29" s="5"/>
      <c r="W29" s="5"/>
      <c r="X29" s="5"/>
      <c r="Y29" s="5"/>
      <c r="Z29" s="5"/>
    </row>
    <row r="30">
      <c r="A30" s="4" t="s">
        <v>58</v>
      </c>
      <c r="B30" s="4" t="s">
        <v>65</v>
      </c>
      <c r="C30" s="4" t="s">
        <v>66</v>
      </c>
      <c r="D30" s="5"/>
      <c r="E30" s="5"/>
      <c r="F30" s="5"/>
      <c r="G30" s="5"/>
      <c r="H30" s="5"/>
      <c r="I30" s="5"/>
      <c r="J30" s="5"/>
      <c r="K30" s="5"/>
      <c r="L30" s="5"/>
      <c r="M30" s="5"/>
      <c r="N30" s="5"/>
      <c r="O30" s="5"/>
      <c r="P30" s="5"/>
      <c r="Q30" s="5"/>
      <c r="R30" s="5"/>
      <c r="S30" s="5"/>
      <c r="T30" s="5"/>
      <c r="U30" s="5"/>
      <c r="V30" s="5"/>
      <c r="W30" s="5"/>
      <c r="X30" s="5"/>
      <c r="Y30" s="5"/>
      <c r="Z30" s="5"/>
    </row>
    <row r="31">
      <c r="A31" s="10" t="s">
        <v>58</v>
      </c>
      <c r="B31" s="10" t="s">
        <v>67</v>
      </c>
      <c r="C31" s="10" t="s">
        <v>68</v>
      </c>
      <c r="D31" s="5"/>
      <c r="E31" s="5"/>
      <c r="F31" s="5"/>
      <c r="G31" s="5"/>
      <c r="H31" s="5"/>
      <c r="I31" s="5"/>
      <c r="J31" s="5"/>
      <c r="K31" s="5"/>
      <c r="L31" s="5"/>
      <c r="M31" s="5"/>
      <c r="N31" s="5"/>
      <c r="O31" s="5"/>
      <c r="P31" s="5"/>
      <c r="Q31" s="5"/>
      <c r="R31" s="5"/>
      <c r="S31" s="5"/>
      <c r="T31" s="5"/>
      <c r="U31" s="5"/>
      <c r="V31" s="5"/>
      <c r="W31" s="5"/>
      <c r="X31" s="5"/>
      <c r="Y31" s="5"/>
      <c r="Z31" s="5"/>
    </row>
    <row r="32">
      <c r="A32" s="11" t="s">
        <v>58</v>
      </c>
      <c r="B32" s="11" t="s">
        <v>67</v>
      </c>
      <c r="C32" s="11" t="s">
        <v>69</v>
      </c>
      <c r="D32" s="5"/>
      <c r="E32" s="5"/>
      <c r="F32" s="5"/>
      <c r="G32" s="5"/>
      <c r="H32" s="5"/>
      <c r="I32" s="5"/>
      <c r="J32" s="5"/>
      <c r="K32" s="5"/>
      <c r="L32" s="5"/>
      <c r="M32" s="5"/>
      <c r="N32" s="5"/>
      <c r="O32" s="5"/>
      <c r="P32" s="5"/>
      <c r="Q32" s="5"/>
      <c r="R32" s="5"/>
      <c r="S32" s="5"/>
      <c r="T32" s="5"/>
      <c r="U32" s="5"/>
      <c r="V32" s="5"/>
      <c r="W32" s="5"/>
      <c r="X32" s="5"/>
      <c r="Y32" s="5"/>
      <c r="Z32" s="5"/>
    </row>
    <row r="33">
      <c r="A33" s="6" t="s">
        <v>70</v>
      </c>
      <c r="B33" s="6" t="s">
        <v>71</v>
      </c>
      <c r="C33" s="6" t="s">
        <v>72</v>
      </c>
      <c r="D33" s="5"/>
      <c r="E33" s="5"/>
      <c r="F33" s="5"/>
      <c r="G33" s="5"/>
      <c r="H33" s="5"/>
      <c r="I33" s="5"/>
      <c r="J33" s="5"/>
      <c r="K33" s="5"/>
      <c r="L33" s="5"/>
      <c r="M33" s="5"/>
      <c r="N33" s="5"/>
      <c r="O33" s="5"/>
      <c r="P33" s="5"/>
      <c r="Q33" s="5"/>
      <c r="R33" s="5"/>
      <c r="S33" s="5"/>
      <c r="T33" s="5"/>
      <c r="U33" s="5"/>
      <c r="V33" s="5"/>
      <c r="W33" s="5"/>
      <c r="X33" s="5"/>
      <c r="Y33" s="5"/>
      <c r="Z33" s="5"/>
    </row>
    <row r="34">
      <c r="A34" s="4" t="s">
        <v>73</v>
      </c>
      <c r="B34" s="4" t="s">
        <v>74</v>
      </c>
      <c r="C34" s="4" t="s">
        <v>75</v>
      </c>
      <c r="D34" s="5"/>
      <c r="E34" s="5"/>
      <c r="F34" s="5"/>
      <c r="G34" s="5"/>
      <c r="H34" s="5"/>
      <c r="I34" s="5"/>
      <c r="J34" s="5"/>
      <c r="K34" s="5"/>
      <c r="L34" s="5"/>
      <c r="M34" s="5"/>
      <c r="N34" s="5"/>
      <c r="O34" s="5"/>
      <c r="P34" s="5"/>
      <c r="Q34" s="5"/>
      <c r="R34" s="5"/>
      <c r="S34" s="5"/>
      <c r="T34" s="5"/>
      <c r="U34" s="5"/>
      <c r="V34" s="5"/>
      <c r="W34" s="5"/>
      <c r="X34" s="5"/>
      <c r="Y34" s="5"/>
      <c r="Z34" s="5"/>
    </row>
    <row r="35">
      <c r="A35" s="6" t="s">
        <v>73</v>
      </c>
      <c r="B35" s="6" t="s">
        <v>76</v>
      </c>
      <c r="C35" s="6" t="s">
        <v>77</v>
      </c>
      <c r="D35" s="5"/>
      <c r="E35" s="5"/>
      <c r="F35" s="5"/>
      <c r="G35" s="5"/>
      <c r="H35" s="5"/>
      <c r="I35" s="5"/>
      <c r="J35" s="5"/>
      <c r="K35" s="5"/>
      <c r="L35" s="5"/>
      <c r="M35" s="5"/>
      <c r="N35" s="5"/>
      <c r="O35" s="5"/>
      <c r="P35" s="5"/>
      <c r="Q35" s="5"/>
      <c r="R35" s="5"/>
      <c r="S35" s="5"/>
      <c r="T35" s="5"/>
      <c r="U35" s="5"/>
      <c r="V35" s="5"/>
      <c r="W35" s="5"/>
      <c r="X35" s="5"/>
      <c r="Y35" s="5"/>
      <c r="Z35" s="5"/>
    </row>
    <row r="36">
      <c r="A36" s="4" t="s">
        <v>73</v>
      </c>
      <c r="B36" s="4" t="s">
        <v>78</v>
      </c>
      <c r="C36" s="4" t="s">
        <v>79</v>
      </c>
      <c r="D36" s="5"/>
      <c r="E36" s="5"/>
      <c r="F36" s="5"/>
      <c r="G36" s="5"/>
      <c r="H36" s="5"/>
      <c r="I36" s="5"/>
      <c r="J36" s="5"/>
      <c r="K36" s="5"/>
      <c r="L36" s="5"/>
      <c r="M36" s="5"/>
      <c r="N36" s="5"/>
      <c r="O36" s="5"/>
      <c r="P36" s="5"/>
      <c r="Q36" s="5"/>
      <c r="R36" s="5"/>
      <c r="S36" s="5"/>
      <c r="T36" s="5"/>
      <c r="U36" s="5"/>
      <c r="V36" s="5"/>
      <c r="W36" s="5"/>
      <c r="X36" s="5"/>
      <c r="Y36" s="5"/>
      <c r="Z36" s="5"/>
    </row>
    <row r="37">
      <c r="A37" s="6" t="s">
        <v>73</v>
      </c>
      <c r="B37" s="6" t="s">
        <v>80</v>
      </c>
      <c r="C37" s="6" t="s">
        <v>81</v>
      </c>
      <c r="D37" s="5"/>
      <c r="E37" s="5"/>
      <c r="F37" s="5"/>
      <c r="G37" s="5"/>
      <c r="H37" s="5"/>
      <c r="I37" s="5"/>
      <c r="J37" s="5"/>
      <c r="K37" s="5"/>
      <c r="L37" s="5"/>
      <c r="M37" s="5"/>
      <c r="N37" s="5"/>
      <c r="O37" s="5"/>
      <c r="P37" s="5"/>
      <c r="Q37" s="5"/>
      <c r="R37" s="5"/>
      <c r="S37" s="5"/>
      <c r="T37" s="5"/>
      <c r="U37" s="5"/>
      <c r="V37" s="5"/>
      <c r="W37" s="5"/>
      <c r="X37" s="5"/>
      <c r="Y37" s="5"/>
      <c r="Z37" s="5"/>
    </row>
    <row r="38">
      <c r="A38" s="4" t="s">
        <v>73</v>
      </c>
      <c r="B38" s="4" t="s">
        <v>82</v>
      </c>
      <c r="C38" s="4" t="s">
        <v>83</v>
      </c>
      <c r="D38" s="5"/>
      <c r="E38" s="5"/>
      <c r="F38" s="5"/>
      <c r="G38" s="5"/>
      <c r="H38" s="5"/>
      <c r="I38" s="5"/>
      <c r="J38" s="5"/>
      <c r="K38" s="5"/>
      <c r="L38" s="5"/>
      <c r="M38" s="5"/>
      <c r="N38" s="5"/>
      <c r="O38" s="5"/>
      <c r="P38" s="5"/>
      <c r="Q38" s="5"/>
      <c r="R38" s="5"/>
      <c r="S38" s="5"/>
      <c r="T38" s="5"/>
      <c r="U38" s="5"/>
      <c r="V38" s="5"/>
      <c r="W38" s="5"/>
      <c r="X38" s="5"/>
      <c r="Y38" s="5"/>
      <c r="Z38" s="5"/>
    </row>
    <row r="39">
      <c r="A39" s="6" t="s">
        <v>73</v>
      </c>
      <c r="B39" s="6" t="s">
        <v>84</v>
      </c>
      <c r="C39" s="6" t="s">
        <v>85</v>
      </c>
      <c r="D39" s="5"/>
      <c r="E39" s="5"/>
      <c r="F39" s="5"/>
      <c r="G39" s="5"/>
      <c r="H39" s="5"/>
      <c r="I39" s="5"/>
      <c r="J39" s="5"/>
      <c r="K39" s="5"/>
      <c r="L39" s="5"/>
      <c r="M39" s="5"/>
      <c r="N39" s="5"/>
      <c r="O39" s="5"/>
      <c r="P39" s="5"/>
      <c r="Q39" s="5"/>
      <c r="R39" s="5"/>
      <c r="S39" s="5"/>
      <c r="T39" s="5"/>
      <c r="U39" s="5"/>
      <c r="V39" s="5"/>
      <c r="W39" s="5"/>
      <c r="X39" s="5"/>
      <c r="Y39" s="5"/>
      <c r="Z39" s="5"/>
    </row>
    <row r="40">
      <c r="A40" s="4" t="s">
        <v>73</v>
      </c>
      <c r="B40" s="4" t="s">
        <v>86</v>
      </c>
      <c r="C40" s="4" t="str">
        <f>LET(
  anno, YEAR(TODAY()),
  a, MOD(anno,19),
  b, INT(anno/100),
  c, MOD(anno,100),
  d, INT(b/4),
  e, MOD(b,4),
  f, INT((b+8)/25),
  g, INT((b-f+1)/3),
  h, MOD(19*a + b - d - g + 15,30),
  j, INT(c/4),
  k, MOD(c,4),
  m, MOD(32 + 2*e + 2*j - h - k,7),
  n, INT((a + 11*h + 22*m)/451),
  p, h + m - 7*n + 114,
  mesePasqua, INT(p/31),
  giornoPasqua, MOD(p,31)+1,
  pasqua, DATE(anno, mesePasqua, giornoPasqua),
  pentecoste, pasqua+49,
  pentecosteFinale, IF(pentecoste&lt;TODAY(),
            LET(
              anno, anno+1,
              a, MOD(anno,19),
              b, INT(anno/100),
              c, MOD(anno,100),
              d, INT(b/4),
              e, MOD(b,4),
              f, INT((b+8)/25),
              g, INT((b-f+1)/3),
              h, MOD(19*a + b - d - g + 15,30),
              j, INT(c/4),
              k, MOD(c,4),
              m, MOD(32 + 2*e + 2*j - h - k,7),
              n, INT((a + 11*h + 22*m)/451),
              p, h + m - 7*n + 114,
              mesePasqua, INT(p/31),
              giornoPasqua, MOD(p,31)+1,
              pasqua, DATE(anno, mesePasqua, giornoPasqua),
              pentecoste, pasqua+49,
              pentecoste
            ),
            pentecoste
          ),
  TEXT(pentecosteFinale,"d mmmm yyyy") &amp; " - Ore 17:30"
)</f>
        <v>24 maggio 2026 - Ore 17:30</v>
      </c>
      <c r="D40" s="5"/>
      <c r="E40" s="5"/>
      <c r="F40" s="5"/>
      <c r="G40" s="5"/>
      <c r="H40" s="5"/>
      <c r="I40" s="5"/>
      <c r="J40" s="5"/>
      <c r="K40" s="5"/>
      <c r="L40" s="5"/>
      <c r="M40" s="5"/>
      <c r="N40" s="5"/>
      <c r="O40" s="5"/>
      <c r="P40" s="5"/>
      <c r="Q40" s="5"/>
      <c r="R40" s="5"/>
      <c r="S40" s="5"/>
      <c r="T40" s="5"/>
      <c r="U40" s="5"/>
      <c r="V40" s="5"/>
      <c r="W40" s="5"/>
      <c r="X40" s="5"/>
      <c r="Y40" s="5"/>
      <c r="Z40" s="5"/>
    </row>
    <row r="41">
      <c r="A41" s="6" t="s">
        <v>73</v>
      </c>
      <c r="B41" s="6" t="s">
        <v>87</v>
      </c>
      <c r="C41" s="6" t="s">
        <v>88</v>
      </c>
      <c r="D41" s="5"/>
      <c r="E41" s="5"/>
      <c r="F41" s="5"/>
      <c r="G41" s="5"/>
      <c r="H41" s="5"/>
      <c r="I41" s="5"/>
      <c r="J41" s="5"/>
      <c r="K41" s="5"/>
      <c r="L41" s="5"/>
      <c r="M41" s="5"/>
      <c r="N41" s="5"/>
      <c r="O41" s="5"/>
      <c r="P41" s="5"/>
      <c r="Q41" s="5"/>
      <c r="R41" s="5"/>
      <c r="S41" s="5"/>
      <c r="T41" s="5"/>
      <c r="U41" s="5"/>
      <c r="V41" s="5"/>
      <c r="W41" s="5"/>
      <c r="X41" s="5"/>
      <c r="Y41" s="5"/>
      <c r="Z41" s="5"/>
    </row>
    <row r="42">
      <c r="A42" s="4" t="s">
        <v>89</v>
      </c>
      <c r="B42" s="4" t="s">
        <v>90</v>
      </c>
      <c r="C42" s="4" t="s">
        <v>91</v>
      </c>
      <c r="D42" s="5"/>
      <c r="E42" s="5"/>
      <c r="F42" s="5"/>
      <c r="G42" s="5"/>
      <c r="H42" s="5"/>
      <c r="I42" s="5"/>
      <c r="J42" s="5"/>
      <c r="K42" s="5"/>
      <c r="L42" s="5"/>
      <c r="M42" s="5"/>
      <c r="N42" s="5"/>
      <c r="O42" s="5"/>
      <c r="P42" s="5"/>
      <c r="Q42" s="5"/>
      <c r="R42" s="5"/>
      <c r="S42" s="5"/>
      <c r="T42" s="5"/>
      <c r="U42" s="5"/>
      <c r="V42" s="5"/>
      <c r="W42" s="5"/>
      <c r="X42" s="5"/>
      <c r="Y42" s="5"/>
      <c r="Z42" s="5"/>
    </row>
    <row r="43">
      <c r="A43" s="6" t="s">
        <v>92</v>
      </c>
      <c r="B43" s="6" t="s">
        <v>93</v>
      </c>
      <c r="C43" s="6" t="s">
        <v>94</v>
      </c>
      <c r="D43" s="5"/>
      <c r="E43" s="5"/>
      <c r="F43" s="5"/>
      <c r="G43" s="5"/>
      <c r="H43" s="5"/>
      <c r="I43" s="5"/>
      <c r="J43" s="5"/>
      <c r="K43" s="5"/>
      <c r="L43" s="5"/>
      <c r="M43" s="5"/>
      <c r="N43" s="5"/>
      <c r="O43" s="5"/>
      <c r="P43" s="5"/>
      <c r="Q43" s="5"/>
      <c r="R43" s="5"/>
      <c r="S43" s="5"/>
      <c r="T43" s="5"/>
      <c r="U43" s="5"/>
      <c r="V43" s="5"/>
      <c r="W43" s="5"/>
      <c r="X43" s="5"/>
      <c r="Y43" s="5"/>
      <c r="Z43" s="5"/>
    </row>
    <row r="44">
      <c r="A44" s="4" t="s">
        <v>95</v>
      </c>
      <c r="B44" s="4" t="s">
        <v>96</v>
      </c>
      <c r="C44" s="4" t="s">
        <v>97</v>
      </c>
      <c r="D44" s="5"/>
      <c r="E44" s="5"/>
      <c r="F44" s="5"/>
      <c r="G44" s="5"/>
      <c r="H44" s="5"/>
      <c r="I44" s="5"/>
      <c r="J44" s="5"/>
      <c r="K44" s="5"/>
      <c r="L44" s="5"/>
      <c r="M44" s="5"/>
      <c r="N44" s="5"/>
      <c r="O44" s="5"/>
      <c r="P44" s="5"/>
      <c r="Q44" s="5"/>
      <c r="R44" s="5"/>
      <c r="S44" s="5"/>
      <c r="T44" s="5"/>
      <c r="U44" s="5"/>
      <c r="V44" s="5"/>
      <c r="W44" s="5"/>
      <c r="X44" s="5"/>
      <c r="Y44" s="5"/>
      <c r="Z44" s="5"/>
    </row>
    <row r="45">
      <c r="A45" s="6" t="s">
        <v>98</v>
      </c>
      <c r="B45" s="6" t="s">
        <v>93</v>
      </c>
      <c r="C45" s="6" t="str">
        <f>LET(
  anno, YEAR(TODAY()),
  a, MOD(anno,19),
  b, INT(anno/100),
  c, MOD(anno,100),
  d, INT(b/4),
  e, MOD(b,4),
  f, INT((b+8)/25),
  g, INT((b-f+1)/3),
  h, MOD(19*a + b - d - g + 15,30),
  j, INT(c/4),
  k, MOD(c,4),
  m, MOD(32 + 2*e + 2*j - h - k,7),
  n, INT((a + 11*h + 22*m)/451),
  p, h + m - 7*n + 114,
  mesePasqua, INT(p/31),
  giornoPasqua, MOD(p,31)+1,
  pasqua, DATE(anno, mesePasqua, giornoPasqua),
  pentecoste, pasqua+49,
  pentecosteFinale, IF(pentecoste&lt;TODAY(),
            LET(
              anno, anno+1,
              a, MOD(anno,19),
              b, INT(anno/100),
              c, MOD(anno,100),
              d, INT(b/4),
              e, MOD(b,4),
              f, INT((b+8)/25),
              g, INT((b-f+1)/3),
              h, MOD(19*a + b - d - g + 15,30),
              j, INT(c/4),
              k, MOD(c,4),
              m, MOD(32 + 2*e + 2*j - h - k,7),
              n, INT((a + 11*h + 22*m)/451),
              p, h + m - 7*n + 114,
              mesePasqua, INT(p/31),
              giornoPasqua, MOD(p,31)+1,
              pasqua, DATE(anno, mesePasqua, giornoPasqua),
              pentecoste, pasqua+49,
              pentecoste
            ),
            pentecoste
          ),
  ritiro, pentecosteFinale-1,
  TEXT(ritiro,"d mmmm yyyy") &amp; ". Ore 15:30. Entrata dal cortile, Teminerà intorno alle 17.30."
)
</f>
        <v>23 maggio 2026. Ore 15:30. Entrata dal cortile, Teminerà intorno alle 17.30.</v>
      </c>
      <c r="D45" s="5"/>
      <c r="E45" s="5"/>
      <c r="F45" s="5"/>
      <c r="G45" s="5"/>
      <c r="H45" s="5"/>
      <c r="I45" s="5"/>
      <c r="J45" s="5"/>
      <c r="K45" s="5"/>
      <c r="L45" s="5"/>
      <c r="M45" s="5"/>
      <c r="N45" s="5"/>
      <c r="O45" s="5"/>
      <c r="P45" s="5"/>
      <c r="Q45" s="5"/>
      <c r="R45" s="5"/>
      <c r="S45" s="5"/>
      <c r="T45" s="5"/>
      <c r="U45" s="5"/>
      <c r="V45" s="5"/>
      <c r="W45" s="5"/>
      <c r="X45" s="5"/>
      <c r="Y45" s="5"/>
      <c r="Z45" s="5"/>
    </row>
    <row r="46">
      <c r="A46" s="4" t="s">
        <v>99</v>
      </c>
      <c r="B46" s="4" t="s">
        <v>100</v>
      </c>
      <c r="C46" s="4" t="str">
        <f>LET(
  anno, YEAR(TODAY()),
  a, MOD(anno,19),
  b, INT(anno/100),
  c, MOD(anno,100),
  d, INT(b/4),
  e, MOD(b,4),
  f, INT((b+8)/25),
  g, INT((b-f+1)/3),
  h, MOD(19*a + b - d - g + 15,30),
  j, INT(c/4),
  k, MOD(c,4),
  m, MOD(32 + 2*e + 2*j - h - k,7),
  n, INT((a + 11*h + 22*m)/451),
  p, h + m - 7*n + 114,
  mesePasqua, INT(p/31),
  giornoPasqua, MOD(p,31)+1,
  pasqua, DATE(anno, mesePasqua, giornoPasqua),
  pentecoste, pasqua+49,
  pentecosteFinale, IF(pentecoste&lt;TODAY(),
            LET(
              anno, anno+1,
              a, MOD(anno,19),
              b, INT(anno/100),
              c, MOD(anno,100),
              d, INT(b/4),
              e, MOD(b,4),
              f, INT((b+8)/25),
              g, INT((b-f+1)/3),
              h, MOD(19*a + b - d - g + 15,30),
              j, INT(c/4),
              k, MOD(c,4),
              m, MOD(32 + 2*e + 2*j - h - k,7),
              n, INT((a + 11*h + 22*m)/451),
              p, h + m - 7*n + 114,
              mesePasqua, INT(p/31),
              giornoPasqua, MOD(p,31)+1,
              pasqua, DATE(anno, mesePasqua, giornoPasqua),
              pentecoste, pasqua+49,
              pentecoste
            ),
            pentecoste
          ),
  dataEvento, pentecosteFinale-2,
  TEXT(dataEvento,"d mmmm yyyy") &amp; " - Ore 20.30 presso l'Auletta rossa dell'Icef. Entrata dal cortile"
)
</f>
        <v>22 maggio 2026 - Ore 20.30 presso l'Auletta rossa dell'Icef. Entrata dal cortile</v>
      </c>
      <c r="D46" s="5"/>
      <c r="E46" s="5"/>
      <c r="F46" s="5"/>
      <c r="G46" s="5"/>
      <c r="H46" s="5"/>
      <c r="I46" s="5"/>
      <c r="J46" s="5"/>
      <c r="K46" s="5"/>
      <c r="L46" s="5"/>
      <c r="M46" s="5"/>
      <c r="N46" s="5"/>
      <c r="O46" s="5"/>
      <c r="P46" s="5"/>
      <c r="Q46" s="5"/>
      <c r="R46" s="5"/>
      <c r="S46" s="5"/>
      <c r="T46" s="5"/>
      <c r="U46" s="5"/>
      <c r="V46" s="5"/>
      <c r="W46" s="5"/>
      <c r="X46" s="5"/>
      <c r="Y46" s="5"/>
      <c r="Z46" s="5"/>
    </row>
    <row r="47">
      <c r="A47" s="6" t="s">
        <v>101</v>
      </c>
      <c r="B47" s="6" t="s">
        <v>102</v>
      </c>
      <c r="C47" s="6" t="s">
        <v>103</v>
      </c>
      <c r="D47" s="5"/>
      <c r="E47" s="5"/>
      <c r="F47" s="5"/>
      <c r="G47" s="5"/>
      <c r="H47" s="5"/>
      <c r="I47" s="5"/>
      <c r="J47" s="5"/>
      <c r="K47" s="5"/>
      <c r="L47" s="5"/>
      <c r="M47" s="5"/>
      <c r="N47" s="5"/>
      <c r="O47" s="5"/>
      <c r="P47" s="5"/>
      <c r="Q47" s="5"/>
      <c r="R47" s="5"/>
      <c r="S47" s="5"/>
      <c r="T47" s="5"/>
      <c r="U47" s="5"/>
      <c r="V47" s="5"/>
      <c r="W47" s="5"/>
      <c r="X47" s="5"/>
      <c r="Y47" s="5"/>
      <c r="Z47" s="5"/>
    </row>
    <row r="48">
      <c r="A48" s="4" t="s">
        <v>104</v>
      </c>
      <c r="B48" s="4" t="s">
        <v>102</v>
      </c>
      <c r="C48" s="4" t="s">
        <v>105</v>
      </c>
      <c r="D48" s="5"/>
      <c r="E48" s="5"/>
      <c r="F48" s="5"/>
      <c r="G48" s="5"/>
      <c r="H48" s="5"/>
      <c r="I48" s="5"/>
      <c r="J48" s="5"/>
      <c r="K48" s="5"/>
      <c r="L48" s="5"/>
      <c r="M48" s="5"/>
      <c r="N48" s="5"/>
      <c r="O48" s="5"/>
      <c r="P48" s="5"/>
      <c r="Q48" s="5"/>
      <c r="R48" s="5"/>
      <c r="S48" s="5"/>
      <c r="T48" s="5"/>
      <c r="U48" s="5"/>
      <c r="V48" s="5"/>
      <c r="W48" s="5"/>
      <c r="X48" s="5"/>
      <c r="Y48" s="5"/>
      <c r="Z48" s="5"/>
    </row>
    <row r="49">
      <c r="A49" s="6" t="s">
        <v>104</v>
      </c>
      <c r="B49" s="6" t="s">
        <v>106</v>
      </c>
      <c r="C49" s="12">
        <v>46152.0</v>
      </c>
      <c r="D49" s="5"/>
      <c r="E49" s="5"/>
      <c r="F49" s="5"/>
      <c r="G49" s="5"/>
      <c r="H49" s="5"/>
      <c r="I49" s="5"/>
      <c r="J49" s="5"/>
      <c r="K49" s="5"/>
      <c r="L49" s="5"/>
      <c r="M49" s="5"/>
      <c r="N49" s="5"/>
      <c r="O49" s="5"/>
      <c r="P49" s="5"/>
      <c r="Q49" s="5"/>
      <c r="R49" s="5"/>
      <c r="S49" s="5"/>
      <c r="T49" s="5"/>
      <c r="U49" s="5"/>
      <c r="V49" s="5"/>
      <c r="W49" s="5"/>
      <c r="X49" s="5"/>
      <c r="Y49" s="5"/>
      <c r="Z49" s="5"/>
    </row>
    <row r="50">
      <c r="A50" s="4" t="s">
        <v>107</v>
      </c>
      <c r="B50" s="4" t="s">
        <v>102</v>
      </c>
      <c r="C50" s="4" t="str">
        <f t="array" ref="C50:C51">{
  TEXT(
    DATE(YEAR(TODAY()),10,1)
    + MOD(6 - WEEKDAY(DATE(YEAR(TODAY()),10,1),2) + 7, 7)
    + TIME(17,30,0) ,
    "dd/mm/yyyy"" alle ore ""hh.mm"
  ) ;
  TEXT(
    DATE(YEAR(TODAY()) + IF(MONTH(TODAY())&gt;=7, 1, 0), 3, 1)
    + MOD(6 - WEEKDAY(DATE(YEAR(TODAY()) + IF(MONTH(TODAY())&gt;=7, 1, 0), 3, 1),2) + 7, 7)
    + TIME(17,30,0) ,
    "dd/mm/yyyy"" alle ore ""hh.mm"
  )
}
</f>
        <v>04/10/2025 alle ore 17.30</v>
      </c>
      <c r="D50" s="5"/>
      <c r="E50" s="5"/>
      <c r="F50" s="5"/>
      <c r="G50" s="5"/>
      <c r="H50" s="5"/>
      <c r="I50" s="5"/>
      <c r="J50" s="5"/>
      <c r="K50" s="5"/>
      <c r="L50" s="5"/>
      <c r="M50" s="5"/>
      <c r="N50" s="5"/>
      <c r="O50" s="5"/>
      <c r="P50" s="5"/>
      <c r="Q50" s="5"/>
      <c r="R50" s="5"/>
      <c r="S50" s="5"/>
      <c r="T50" s="5"/>
      <c r="U50" s="5"/>
      <c r="V50" s="5"/>
      <c r="W50" s="5"/>
      <c r="X50" s="5"/>
      <c r="Y50" s="5"/>
      <c r="Z50" s="5"/>
    </row>
    <row r="51">
      <c r="A51" s="6" t="s">
        <v>108</v>
      </c>
      <c r="B51" s="6" t="s">
        <v>102</v>
      </c>
      <c r="C51" s="6" t="s">
        <v>109</v>
      </c>
      <c r="D51" s="5"/>
      <c r="E51" s="5"/>
      <c r="F51" s="5"/>
      <c r="G51" s="5"/>
      <c r="H51" s="5"/>
      <c r="I51" s="5"/>
      <c r="J51" s="5"/>
      <c r="K51" s="5"/>
      <c r="L51" s="5"/>
      <c r="M51" s="5"/>
      <c r="N51" s="5"/>
      <c r="O51" s="5"/>
      <c r="P51" s="5"/>
      <c r="Q51" s="5"/>
      <c r="R51" s="5"/>
      <c r="S51" s="5"/>
      <c r="T51" s="5"/>
      <c r="U51" s="5"/>
      <c r="V51" s="5"/>
      <c r="W51" s="5"/>
      <c r="X51" s="5"/>
      <c r="Y51" s="5"/>
      <c r="Z51" s="5"/>
    </row>
    <row r="52">
      <c r="A52" s="4" t="s">
        <v>110</v>
      </c>
      <c r="B52" s="4" t="s">
        <v>111</v>
      </c>
      <c r="C52" s="4" t="s">
        <v>112</v>
      </c>
      <c r="D52" s="5"/>
      <c r="E52" s="5"/>
      <c r="F52" s="5"/>
      <c r="G52" s="5"/>
      <c r="H52" s="5"/>
      <c r="I52" s="5"/>
      <c r="J52" s="5"/>
      <c r="K52" s="5"/>
      <c r="L52" s="5"/>
      <c r="M52" s="5"/>
      <c r="N52" s="5"/>
      <c r="O52" s="5"/>
      <c r="P52" s="5"/>
      <c r="Q52" s="5"/>
      <c r="R52" s="5"/>
      <c r="S52" s="5"/>
      <c r="T52" s="5"/>
      <c r="U52" s="5"/>
      <c r="V52" s="5"/>
      <c r="W52" s="5"/>
      <c r="X52" s="5"/>
      <c r="Y52" s="5"/>
      <c r="Z52" s="5"/>
    </row>
    <row r="53">
      <c r="A53" s="6" t="s">
        <v>110</v>
      </c>
      <c r="B53" s="6" t="s">
        <v>113</v>
      </c>
      <c r="C53" s="6" t="s">
        <v>114</v>
      </c>
      <c r="D53" s="5"/>
      <c r="E53" s="5"/>
      <c r="F53" s="5"/>
      <c r="G53" s="5"/>
      <c r="H53" s="5"/>
      <c r="I53" s="5"/>
      <c r="J53" s="5"/>
      <c r="K53" s="5"/>
      <c r="L53" s="5"/>
      <c r="M53" s="5"/>
      <c r="N53" s="5"/>
      <c r="O53" s="5"/>
      <c r="P53" s="5"/>
      <c r="Q53" s="5"/>
      <c r="R53" s="5"/>
      <c r="S53" s="5"/>
      <c r="T53" s="5"/>
      <c r="U53" s="5"/>
      <c r="V53" s="5"/>
      <c r="W53" s="5"/>
      <c r="X53" s="5"/>
      <c r="Y53" s="5"/>
      <c r="Z53" s="5"/>
    </row>
    <row r="54">
      <c r="A54" s="4" t="s">
        <v>115</v>
      </c>
      <c r="B54" s="4" t="s">
        <v>102</v>
      </c>
      <c r="C54" s="4" t="str">
        <f t="array" ref="C54:C55">{
  TEXT(
    DATE(YEAR(TODAY()),10,1)
    + MOD(6 - WEEKDAY(DATE(YEAR(TODAY()),10,1),2) + 7, 7) + 7
    + TIME(16,30,0) ,
    "dd/mm/yyyy"" alle ore ""hh.mm"
  ) ;
  TEXT(
    DATE(YEAR(TODAY()) + IF(MONTH(TODAY())&gt;=7, 1, 0), 3, 1)
    + MOD(6 - WEEKDAY(DATE(YEAR(TODAY()) + IF(MONTH(TODAY())&gt;=7, 1, 0), 3, 1),2) + 7, 7) + 7
    + TIME(16,30,0) ,
    "dd/mm/yyyy"" alle ore ""hh.mm"
  )
}</f>
        <v>11/10/2025 alle ore 16.30</v>
      </c>
      <c r="D54" s="5"/>
      <c r="E54" s="5"/>
      <c r="F54" s="5"/>
      <c r="G54" s="5"/>
      <c r="H54" s="5"/>
      <c r="I54" s="5"/>
      <c r="J54" s="5"/>
      <c r="K54" s="5"/>
      <c r="L54" s="5"/>
      <c r="M54" s="5"/>
      <c r="N54" s="5"/>
      <c r="O54" s="5"/>
      <c r="P54" s="5"/>
      <c r="Q54" s="5"/>
      <c r="R54" s="5"/>
      <c r="S54" s="5"/>
      <c r="T54" s="5"/>
      <c r="U54" s="5"/>
      <c r="V54" s="5"/>
      <c r="W54" s="5"/>
      <c r="X54" s="5"/>
      <c r="Y54" s="5"/>
      <c r="Z54" s="5"/>
    </row>
    <row r="55">
      <c r="A55" s="6" t="s">
        <v>116</v>
      </c>
      <c r="B55" s="6" t="s">
        <v>102</v>
      </c>
      <c r="C55" s="6" t="s">
        <v>117</v>
      </c>
      <c r="D55" s="5"/>
      <c r="E55" s="5"/>
      <c r="F55" s="5"/>
      <c r="G55" s="5"/>
      <c r="H55" s="5"/>
      <c r="I55" s="5"/>
      <c r="J55" s="5"/>
      <c r="K55" s="5"/>
      <c r="L55" s="5"/>
      <c r="M55" s="5"/>
      <c r="N55" s="5"/>
      <c r="O55" s="5"/>
      <c r="P55" s="5"/>
      <c r="Q55" s="5"/>
      <c r="R55" s="5"/>
      <c r="S55" s="5"/>
      <c r="T55" s="5"/>
      <c r="U55" s="5"/>
      <c r="V55" s="5"/>
      <c r="W55" s="5"/>
      <c r="X55" s="5"/>
      <c r="Y55" s="5"/>
      <c r="Z55" s="5"/>
    </row>
    <row r="56">
      <c r="A56" s="4" t="s">
        <v>118</v>
      </c>
      <c r="B56" s="4" t="s">
        <v>111</v>
      </c>
      <c r="C56" s="4" t="s">
        <v>119</v>
      </c>
      <c r="D56" s="5"/>
      <c r="E56" s="5"/>
      <c r="F56" s="5"/>
      <c r="G56" s="5"/>
      <c r="H56" s="5"/>
      <c r="I56" s="5"/>
      <c r="J56" s="5"/>
      <c r="K56" s="5"/>
      <c r="L56" s="5"/>
      <c r="M56" s="5"/>
      <c r="N56" s="5"/>
      <c r="O56" s="5"/>
      <c r="P56" s="5"/>
      <c r="Q56" s="5"/>
      <c r="R56" s="5"/>
      <c r="S56" s="5"/>
      <c r="T56" s="5"/>
      <c r="U56" s="5"/>
      <c r="V56" s="5"/>
      <c r="W56" s="5"/>
      <c r="X56" s="5"/>
      <c r="Y56" s="5"/>
      <c r="Z56" s="5"/>
    </row>
    <row r="57">
      <c r="A57" s="6" t="s">
        <v>118</v>
      </c>
      <c r="B57" s="6" t="s">
        <v>113</v>
      </c>
      <c r="C57" s="6" t="s">
        <v>120</v>
      </c>
      <c r="D57" s="5"/>
      <c r="E57" s="5"/>
      <c r="F57" s="5"/>
      <c r="G57" s="5"/>
      <c r="H57" s="5"/>
      <c r="I57" s="5"/>
      <c r="J57" s="5"/>
      <c r="K57" s="5"/>
      <c r="L57" s="5"/>
      <c r="M57" s="5"/>
      <c r="N57" s="5"/>
      <c r="O57" s="5"/>
      <c r="P57" s="5"/>
      <c r="Q57" s="5"/>
      <c r="R57" s="5"/>
      <c r="S57" s="5"/>
      <c r="T57" s="5"/>
      <c r="U57" s="5"/>
      <c r="V57" s="5"/>
      <c r="W57" s="5"/>
      <c r="X57" s="5"/>
      <c r="Y57" s="5"/>
      <c r="Z57" s="5"/>
    </row>
    <row r="58">
      <c r="A58" s="4" t="s">
        <v>121</v>
      </c>
      <c r="B58" s="4" t="s">
        <v>122</v>
      </c>
      <c r="C58" s="4" t="s">
        <v>123</v>
      </c>
      <c r="D58" s="5"/>
      <c r="E58" s="5"/>
      <c r="F58" s="5"/>
      <c r="G58" s="5"/>
      <c r="H58" s="5"/>
      <c r="I58" s="5"/>
      <c r="J58" s="5"/>
      <c r="K58" s="5"/>
      <c r="L58" s="5"/>
      <c r="M58" s="5"/>
      <c r="N58" s="5"/>
      <c r="O58" s="5"/>
      <c r="P58" s="5"/>
      <c r="Q58" s="5"/>
      <c r="R58" s="5"/>
      <c r="S58" s="5"/>
      <c r="T58" s="5"/>
      <c r="U58" s="5"/>
      <c r="V58" s="5"/>
      <c r="W58" s="5"/>
      <c r="X58" s="5"/>
      <c r="Y58" s="5"/>
      <c r="Z58" s="5"/>
    </row>
    <row r="59">
      <c r="A59" s="6" t="s">
        <v>121</v>
      </c>
      <c r="B59" s="6" t="s">
        <v>124</v>
      </c>
      <c r="C59" s="6" t="s">
        <v>125</v>
      </c>
      <c r="D59" s="5"/>
      <c r="E59" s="5"/>
      <c r="F59" s="5"/>
      <c r="G59" s="5"/>
      <c r="H59" s="5"/>
      <c r="I59" s="5"/>
      <c r="J59" s="5"/>
      <c r="K59" s="5"/>
      <c r="L59" s="5"/>
      <c r="M59" s="5"/>
      <c r="N59" s="5"/>
      <c r="O59" s="5"/>
      <c r="P59" s="5"/>
      <c r="Q59" s="5"/>
      <c r="R59" s="5"/>
      <c r="S59" s="5"/>
      <c r="T59" s="5"/>
      <c r="U59" s="5"/>
      <c r="V59" s="5"/>
      <c r="W59" s="5"/>
      <c r="X59" s="5"/>
      <c r="Y59" s="5"/>
      <c r="Z59" s="5"/>
    </row>
    <row r="60">
      <c r="A60" s="4" t="s">
        <v>121</v>
      </c>
      <c r="B60" s="4" t="s">
        <v>126</v>
      </c>
      <c r="C60" s="4" t="s">
        <v>127</v>
      </c>
      <c r="D60" s="5"/>
      <c r="E60" s="5"/>
      <c r="F60" s="5"/>
      <c r="G60" s="5"/>
      <c r="H60" s="5"/>
      <c r="I60" s="5"/>
      <c r="J60" s="5"/>
      <c r="K60" s="5"/>
      <c r="L60" s="5"/>
      <c r="M60" s="5"/>
      <c r="N60" s="5"/>
      <c r="O60" s="5"/>
      <c r="P60" s="5"/>
      <c r="Q60" s="5"/>
      <c r="R60" s="5"/>
      <c r="S60" s="5"/>
      <c r="T60" s="5"/>
      <c r="U60" s="5"/>
      <c r="V60" s="5"/>
      <c r="W60" s="5"/>
      <c r="X60" s="5"/>
      <c r="Y60" s="5"/>
      <c r="Z60" s="5"/>
    </row>
    <row r="61">
      <c r="A61" s="6" t="s">
        <v>121</v>
      </c>
      <c r="B61" s="6" t="s">
        <v>128</v>
      </c>
      <c r="C61" s="6" t="s">
        <v>129</v>
      </c>
      <c r="D61" s="5"/>
      <c r="E61" s="5"/>
      <c r="F61" s="5"/>
      <c r="G61" s="5"/>
      <c r="H61" s="5"/>
      <c r="I61" s="5"/>
      <c r="J61" s="5"/>
      <c r="K61" s="5"/>
      <c r="L61" s="5"/>
      <c r="M61" s="5"/>
      <c r="N61" s="5"/>
      <c r="O61" s="5"/>
      <c r="P61" s="5"/>
      <c r="Q61" s="5"/>
      <c r="R61" s="5"/>
      <c r="S61" s="5"/>
      <c r="T61" s="5"/>
      <c r="U61" s="5"/>
      <c r="V61" s="5"/>
      <c r="W61" s="5"/>
      <c r="X61" s="5"/>
      <c r="Y61" s="5"/>
      <c r="Z61" s="5"/>
    </row>
    <row r="62">
      <c r="A62" s="4" t="s">
        <v>121</v>
      </c>
      <c r="B62" s="4" t="s">
        <v>130</v>
      </c>
      <c r="C62" s="4" t="s">
        <v>131</v>
      </c>
      <c r="D62" s="5"/>
      <c r="E62" s="5"/>
      <c r="F62" s="5"/>
      <c r="G62" s="5"/>
      <c r="H62" s="5"/>
      <c r="I62" s="5"/>
      <c r="J62" s="5"/>
      <c r="K62" s="5"/>
      <c r="L62" s="5"/>
      <c r="M62" s="5"/>
      <c r="N62" s="5"/>
      <c r="O62" s="5"/>
      <c r="P62" s="5"/>
      <c r="Q62" s="5"/>
      <c r="R62" s="5"/>
      <c r="S62" s="5"/>
      <c r="T62" s="5"/>
      <c r="U62" s="5"/>
      <c r="V62" s="5"/>
      <c r="W62" s="5"/>
      <c r="X62" s="5"/>
      <c r="Y62" s="5"/>
      <c r="Z62" s="5"/>
    </row>
    <row r="63">
      <c r="A63" s="6" t="s">
        <v>121</v>
      </c>
      <c r="B63" s="6" t="s">
        <v>132</v>
      </c>
      <c r="C63" s="6" t="s">
        <v>133</v>
      </c>
      <c r="D63" s="5"/>
      <c r="E63" s="5"/>
      <c r="F63" s="5"/>
      <c r="G63" s="5"/>
      <c r="H63" s="5"/>
      <c r="I63" s="5"/>
      <c r="J63" s="5"/>
      <c r="K63" s="5"/>
      <c r="L63" s="5"/>
      <c r="M63" s="5"/>
      <c r="N63" s="5"/>
      <c r="O63" s="5"/>
      <c r="P63" s="5"/>
      <c r="Q63" s="5"/>
      <c r="R63" s="5"/>
      <c r="S63" s="5"/>
      <c r="T63" s="5"/>
      <c r="U63" s="5"/>
      <c r="V63" s="5"/>
      <c r="W63" s="5"/>
      <c r="X63" s="5"/>
      <c r="Y63" s="5"/>
      <c r="Z63" s="5"/>
    </row>
    <row r="64">
      <c r="A64" s="4" t="s">
        <v>121</v>
      </c>
      <c r="B64" s="4" t="s">
        <v>134</v>
      </c>
      <c r="C64" s="4" t="s">
        <v>135</v>
      </c>
      <c r="D64" s="5"/>
      <c r="E64" s="5"/>
      <c r="F64" s="5"/>
      <c r="G64" s="5"/>
      <c r="H64" s="5"/>
      <c r="I64" s="5"/>
      <c r="J64" s="5"/>
      <c r="K64" s="5"/>
      <c r="L64" s="5"/>
      <c r="M64" s="5"/>
      <c r="N64" s="5"/>
      <c r="O64" s="5"/>
      <c r="P64" s="5"/>
      <c r="Q64" s="5"/>
      <c r="R64" s="5"/>
      <c r="S64" s="5"/>
      <c r="T64" s="5"/>
      <c r="U64" s="5"/>
      <c r="V64" s="5"/>
      <c r="W64" s="5"/>
      <c r="X64" s="5"/>
      <c r="Y64" s="5"/>
      <c r="Z64" s="5"/>
    </row>
    <row r="65">
      <c r="A65" s="6" t="s">
        <v>121</v>
      </c>
      <c r="B65" s="6" t="s">
        <v>136</v>
      </c>
      <c r="C65" s="6" t="s">
        <v>137</v>
      </c>
      <c r="D65" s="5"/>
      <c r="E65" s="5"/>
      <c r="F65" s="5"/>
      <c r="G65" s="5"/>
      <c r="H65" s="5"/>
      <c r="I65" s="5"/>
      <c r="J65" s="5"/>
      <c r="K65" s="5"/>
      <c r="L65" s="5"/>
      <c r="M65" s="5"/>
      <c r="N65" s="5"/>
      <c r="O65" s="5"/>
      <c r="P65" s="5"/>
      <c r="Q65" s="5"/>
      <c r="R65" s="5"/>
      <c r="S65" s="5"/>
      <c r="T65" s="5"/>
      <c r="U65" s="5"/>
      <c r="V65" s="5"/>
      <c r="W65" s="5"/>
      <c r="X65" s="5"/>
      <c r="Y65" s="5"/>
      <c r="Z65" s="5"/>
    </row>
    <row r="66">
      <c r="A66" s="4" t="s">
        <v>121</v>
      </c>
      <c r="B66" s="4" t="s">
        <v>138</v>
      </c>
      <c r="C66" s="4" t="s">
        <v>139</v>
      </c>
      <c r="D66" s="5"/>
      <c r="E66" s="5"/>
      <c r="F66" s="5"/>
      <c r="G66" s="5"/>
      <c r="H66" s="5"/>
      <c r="I66" s="5"/>
      <c r="J66" s="5"/>
      <c r="K66" s="5"/>
      <c r="L66" s="5"/>
      <c r="M66" s="5"/>
      <c r="N66" s="5"/>
      <c r="O66" s="5"/>
      <c r="P66" s="5"/>
      <c r="Q66" s="5"/>
      <c r="R66" s="5"/>
      <c r="S66" s="5"/>
      <c r="T66" s="5"/>
      <c r="U66" s="5"/>
      <c r="V66" s="5"/>
      <c r="W66" s="5"/>
      <c r="X66" s="5"/>
      <c r="Y66" s="5"/>
      <c r="Z66" s="5"/>
    </row>
    <row r="67">
      <c r="A67" s="6" t="s">
        <v>121</v>
      </c>
      <c r="B67" s="6" t="s">
        <v>140</v>
      </c>
      <c r="C67" s="6" t="s">
        <v>141</v>
      </c>
      <c r="D67" s="5"/>
      <c r="E67" s="5"/>
      <c r="F67" s="5"/>
      <c r="G67" s="5"/>
      <c r="H67" s="5"/>
      <c r="I67" s="5"/>
      <c r="J67" s="5"/>
      <c r="K67" s="5"/>
      <c r="L67" s="5"/>
      <c r="M67" s="5"/>
      <c r="N67" s="5"/>
      <c r="O67" s="5"/>
      <c r="P67" s="5"/>
      <c r="Q67" s="5"/>
      <c r="R67" s="5"/>
      <c r="S67" s="5"/>
      <c r="T67" s="5"/>
      <c r="U67" s="5"/>
      <c r="V67" s="5"/>
      <c r="W67" s="5"/>
      <c r="X67" s="5"/>
      <c r="Y67" s="5"/>
      <c r="Z67" s="5"/>
    </row>
    <row r="68">
      <c r="A68" s="4" t="s">
        <v>142</v>
      </c>
      <c r="B68" s="4" t="s">
        <v>143</v>
      </c>
      <c r="C68" s="7" t="s">
        <v>144</v>
      </c>
      <c r="D68" s="5"/>
      <c r="E68" s="5"/>
      <c r="F68" s="5"/>
      <c r="G68" s="5"/>
      <c r="H68" s="5"/>
      <c r="I68" s="5"/>
      <c r="J68" s="5"/>
      <c r="K68" s="5"/>
      <c r="L68" s="5"/>
      <c r="M68" s="5"/>
      <c r="N68" s="5"/>
      <c r="O68" s="5"/>
      <c r="P68" s="5"/>
      <c r="Q68" s="5"/>
      <c r="R68" s="5"/>
      <c r="S68" s="5"/>
      <c r="T68" s="5"/>
      <c r="U68" s="5"/>
      <c r="V68" s="5"/>
      <c r="W68" s="5"/>
      <c r="X68" s="5"/>
      <c r="Y68" s="5"/>
      <c r="Z68" s="5"/>
    </row>
    <row r="69">
      <c r="A69" s="6" t="s">
        <v>145</v>
      </c>
      <c r="B69" s="6" t="s">
        <v>143</v>
      </c>
      <c r="C69" s="9" t="s">
        <v>146</v>
      </c>
      <c r="D69" s="5"/>
      <c r="E69" s="5"/>
      <c r="F69" s="5"/>
      <c r="G69" s="5"/>
      <c r="H69" s="5"/>
      <c r="I69" s="5"/>
      <c r="J69" s="5"/>
      <c r="K69" s="5"/>
      <c r="L69" s="5"/>
      <c r="M69" s="5"/>
      <c r="N69" s="5"/>
      <c r="O69" s="5"/>
      <c r="P69" s="5"/>
      <c r="Q69" s="5"/>
      <c r="R69" s="5"/>
      <c r="S69" s="5"/>
      <c r="T69" s="5"/>
      <c r="U69" s="5"/>
      <c r="V69" s="5"/>
      <c r="W69" s="5"/>
      <c r="X69" s="5"/>
      <c r="Y69" s="5"/>
      <c r="Z69" s="5"/>
    </row>
    <row r="70">
      <c r="A70" s="4" t="s">
        <v>147</v>
      </c>
      <c r="B70" s="4" t="s">
        <v>143</v>
      </c>
      <c r="C70" s="7" t="s">
        <v>146</v>
      </c>
      <c r="D70" s="5"/>
      <c r="E70" s="5"/>
      <c r="F70" s="5"/>
      <c r="G70" s="5"/>
      <c r="H70" s="5"/>
      <c r="I70" s="5"/>
      <c r="J70" s="5"/>
      <c r="K70" s="5"/>
      <c r="L70" s="5"/>
      <c r="M70" s="5"/>
      <c r="N70" s="5"/>
      <c r="O70" s="5"/>
      <c r="P70" s="5"/>
      <c r="Q70" s="5"/>
      <c r="R70" s="5"/>
      <c r="S70" s="5"/>
      <c r="T70" s="5"/>
      <c r="U70" s="5"/>
      <c r="V70" s="5"/>
      <c r="W70" s="5"/>
      <c r="X70" s="5"/>
      <c r="Y70" s="5"/>
      <c r="Z70" s="5"/>
    </row>
    <row r="71">
      <c r="A71" s="6" t="s">
        <v>148</v>
      </c>
      <c r="B71" s="6" t="s">
        <v>143</v>
      </c>
      <c r="C71" s="9" t="s">
        <v>149</v>
      </c>
      <c r="D71" s="5"/>
      <c r="E71" s="5"/>
      <c r="F71" s="5"/>
      <c r="G71" s="5"/>
      <c r="H71" s="5"/>
      <c r="I71" s="5"/>
      <c r="J71" s="5"/>
      <c r="K71" s="5"/>
      <c r="L71" s="5"/>
      <c r="M71" s="5"/>
      <c r="N71" s="5"/>
      <c r="O71" s="5"/>
      <c r="P71" s="5"/>
      <c r="Q71" s="5"/>
      <c r="R71" s="5"/>
      <c r="S71" s="5"/>
      <c r="T71" s="5"/>
      <c r="U71" s="5"/>
      <c r="V71" s="5"/>
      <c r="W71" s="5"/>
      <c r="X71" s="5"/>
      <c r="Y71" s="5"/>
      <c r="Z71" s="5"/>
    </row>
    <row r="72">
      <c r="A72" s="4" t="s">
        <v>150</v>
      </c>
      <c r="B72" s="4" t="s">
        <v>143</v>
      </c>
      <c r="C72" s="7" t="s">
        <v>151</v>
      </c>
      <c r="D72" s="5"/>
      <c r="E72" s="5"/>
      <c r="F72" s="5"/>
      <c r="G72" s="5"/>
      <c r="H72" s="5"/>
      <c r="I72" s="5"/>
      <c r="J72" s="5"/>
      <c r="K72" s="5"/>
      <c r="L72" s="5"/>
      <c r="M72" s="5"/>
      <c r="N72" s="5"/>
      <c r="O72" s="5"/>
      <c r="P72" s="5"/>
      <c r="Q72" s="5"/>
      <c r="R72" s="5"/>
      <c r="S72" s="5"/>
      <c r="T72" s="5"/>
      <c r="U72" s="5"/>
      <c r="V72" s="5"/>
      <c r="W72" s="5"/>
      <c r="X72" s="5"/>
      <c r="Y72" s="5"/>
      <c r="Z72" s="5"/>
    </row>
    <row r="73">
      <c r="A73" s="6" t="s">
        <v>121</v>
      </c>
      <c r="B73" s="6" t="s">
        <v>152</v>
      </c>
      <c r="C73" s="6" t="s">
        <v>153</v>
      </c>
      <c r="D73" s="5"/>
      <c r="E73" s="5"/>
      <c r="F73" s="5"/>
      <c r="G73" s="5"/>
      <c r="H73" s="5"/>
      <c r="I73" s="5"/>
      <c r="J73" s="5"/>
      <c r="K73" s="5"/>
      <c r="L73" s="5"/>
      <c r="M73" s="5"/>
      <c r="N73" s="5"/>
      <c r="O73" s="5"/>
      <c r="P73" s="5"/>
      <c r="Q73" s="5"/>
      <c r="R73" s="5"/>
      <c r="S73" s="5"/>
      <c r="T73" s="5"/>
      <c r="U73" s="5"/>
      <c r="V73" s="5"/>
      <c r="W73" s="5"/>
      <c r="X73" s="5"/>
      <c r="Y73" s="5"/>
      <c r="Z73" s="5"/>
    </row>
    <row r="74">
      <c r="A74" s="4" t="s">
        <v>154</v>
      </c>
      <c r="B74" s="4" t="s">
        <v>155</v>
      </c>
      <c r="C74" s="4" t="s">
        <v>156</v>
      </c>
      <c r="D74" s="5"/>
      <c r="E74" s="5"/>
      <c r="F74" s="5"/>
      <c r="G74" s="5"/>
      <c r="H74" s="5"/>
      <c r="I74" s="5"/>
      <c r="J74" s="5"/>
      <c r="K74" s="5"/>
      <c r="L74" s="5"/>
      <c r="M74" s="5"/>
      <c r="N74" s="5"/>
      <c r="O74" s="5"/>
      <c r="P74" s="5"/>
      <c r="Q74" s="5"/>
      <c r="R74" s="5"/>
      <c r="S74" s="5"/>
      <c r="T74" s="5"/>
      <c r="U74" s="5"/>
      <c r="V74" s="5"/>
      <c r="W74" s="5"/>
      <c r="X74" s="5"/>
      <c r="Y74" s="5"/>
      <c r="Z74" s="5"/>
    </row>
    <row r="75">
      <c r="A75" s="6" t="s">
        <v>121</v>
      </c>
      <c r="B75" s="6" t="s">
        <v>157</v>
      </c>
      <c r="C75" s="6" t="s">
        <v>158</v>
      </c>
      <c r="D75" s="5"/>
      <c r="E75" s="5"/>
      <c r="F75" s="5"/>
      <c r="G75" s="5"/>
      <c r="H75" s="5"/>
      <c r="I75" s="5"/>
      <c r="J75" s="5"/>
      <c r="K75" s="5"/>
      <c r="L75" s="5"/>
      <c r="M75" s="5"/>
      <c r="N75" s="5"/>
      <c r="O75" s="5"/>
      <c r="P75" s="5"/>
      <c r="Q75" s="5"/>
      <c r="R75" s="5"/>
      <c r="S75" s="5"/>
      <c r="T75" s="5"/>
      <c r="U75" s="5"/>
      <c r="V75" s="5"/>
      <c r="W75" s="5"/>
      <c r="X75" s="5"/>
      <c r="Y75" s="5"/>
      <c r="Z75" s="5"/>
    </row>
    <row r="76">
      <c r="A76" s="4" t="s">
        <v>159</v>
      </c>
      <c r="B76" s="4" t="s">
        <v>160</v>
      </c>
      <c r="C76" s="4" t="s">
        <v>161</v>
      </c>
      <c r="D76" s="13"/>
      <c r="E76" s="13"/>
      <c r="F76" s="13"/>
      <c r="G76" s="13"/>
      <c r="H76" s="13"/>
      <c r="I76" s="13"/>
      <c r="J76" s="13"/>
      <c r="K76" s="13"/>
      <c r="L76" s="13"/>
      <c r="M76" s="13"/>
      <c r="N76" s="13"/>
      <c r="O76" s="13"/>
      <c r="P76" s="13"/>
      <c r="Q76" s="13"/>
      <c r="R76" s="13"/>
      <c r="S76" s="13"/>
      <c r="T76" s="13"/>
      <c r="U76" s="13"/>
      <c r="V76" s="13"/>
      <c r="W76" s="13"/>
      <c r="X76" s="13"/>
      <c r="Y76" s="13"/>
      <c r="Z76" s="13"/>
    </row>
    <row r="77">
      <c r="A77" s="6" t="s">
        <v>162</v>
      </c>
      <c r="B77" s="6" t="s">
        <v>163</v>
      </c>
      <c r="C77" s="6" t="s">
        <v>164</v>
      </c>
      <c r="D77" s="13"/>
      <c r="E77" s="13"/>
      <c r="F77" s="13"/>
      <c r="G77" s="13"/>
      <c r="H77" s="13"/>
      <c r="I77" s="13"/>
      <c r="J77" s="13"/>
      <c r="K77" s="13"/>
      <c r="L77" s="13"/>
      <c r="M77" s="13"/>
      <c r="N77" s="13"/>
      <c r="O77" s="13"/>
      <c r="P77" s="13"/>
      <c r="Q77" s="13"/>
      <c r="R77" s="13"/>
      <c r="S77" s="13"/>
      <c r="T77" s="13"/>
      <c r="U77" s="13"/>
      <c r="V77" s="13"/>
      <c r="W77" s="13"/>
      <c r="X77" s="13"/>
      <c r="Y77" s="13"/>
      <c r="Z77" s="13"/>
    </row>
    <row r="78">
      <c r="A78" s="4" t="s">
        <v>121</v>
      </c>
      <c r="B78" s="4" t="s">
        <v>165</v>
      </c>
      <c r="C78" s="7" t="s">
        <v>166</v>
      </c>
      <c r="D78" s="5"/>
      <c r="E78" s="5"/>
      <c r="F78" s="5"/>
      <c r="G78" s="5"/>
      <c r="H78" s="5"/>
      <c r="I78" s="5"/>
      <c r="J78" s="5"/>
      <c r="K78" s="5"/>
      <c r="L78" s="5"/>
      <c r="M78" s="5"/>
      <c r="N78" s="5"/>
      <c r="O78" s="5"/>
      <c r="P78" s="5"/>
      <c r="Q78" s="5"/>
      <c r="R78" s="5"/>
      <c r="S78" s="5"/>
      <c r="T78" s="5"/>
      <c r="U78" s="5"/>
      <c r="V78" s="5"/>
      <c r="W78" s="5"/>
      <c r="X78" s="5"/>
      <c r="Y78" s="5"/>
      <c r="Z78" s="5"/>
    </row>
    <row r="79">
      <c r="A79" s="6" t="s">
        <v>121</v>
      </c>
      <c r="B79" s="6" t="s">
        <v>167</v>
      </c>
      <c r="C79" s="6" t="s">
        <v>168</v>
      </c>
      <c r="D79" s="5"/>
      <c r="E79" s="5"/>
      <c r="F79" s="5"/>
      <c r="G79" s="5"/>
      <c r="H79" s="5"/>
      <c r="I79" s="5"/>
      <c r="J79" s="5"/>
      <c r="K79" s="5"/>
      <c r="L79" s="5"/>
      <c r="M79" s="5"/>
      <c r="N79" s="5"/>
      <c r="O79" s="5"/>
      <c r="P79" s="5"/>
      <c r="Q79" s="5"/>
      <c r="R79" s="5"/>
      <c r="S79" s="5"/>
      <c r="T79" s="5"/>
      <c r="U79" s="5"/>
      <c r="V79" s="5"/>
      <c r="W79" s="5"/>
      <c r="X79" s="5"/>
      <c r="Y79" s="5"/>
      <c r="Z79" s="5"/>
    </row>
    <row r="80">
      <c r="A80" s="4" t="s">
        <v>121</v>
      </c>
      <c r="B80" s="4" t="s">
        <v>169</v>
      </c>
      <c r="C80" s="4" t="s">
        <v>170</v>
      </c>
      <c r="D80" s="5"/>
      <c r="E80" s="5"/>
      <c r="F80" s="5"/>
      <c r="G80" s="5"/>
      <c r="H80" s="5"/>
      <c r="I80" s="5"/>
      <c r="J80" s="5"/>
      <c r="K80" s="5"/>
      <c r="L80" s="5"/>
      <c r="M80" s="5"/>
      <c r="N80" s="5"/>
      <c r="O80" s="5"/>
      <c r="P80" s="5"/>
      <c r="Q80" s="5"/>
      <c r="R80" s="5"/>
      <c r="S80" s="5"/>
      <c r="T80" s="5"/>
      <c r="U80" s="5"/>
      <c r="V80" s="5"/>
      <c r="W80" s="5"/>
      <c r="X80" s="5"/>
      <c r="Y80" s="5"/>
      <c r="Z80" s="5"/>
    </row>
    <row r="81">
      <c r="A81" s="6" t="s">
        <v>171</v>
      </c>
      <c r="B81" s="6" t="s">
        <v>172</v>
      </c>
      <c r="C81" s="6" t="s">
        <v>173</v>
      </c>
      <c r="D81" s="5"/>
      <c r="E81" s="5"/>
      <c r="F81" s="5"/>
      <c r="G81" s="5"/>
      <c r="H81" s="5"/>
      <c r="I81" s="5"/>
      <c r="J81" s="5"/>
      <c r="K81" s="5"/>
      <c r="L81" s="5"/>
      <c r="M81" s="5"/>
      <c r="N81" s="5"/>
      <c r="O81" s="5"/>
      <c r="P81" s="5"/>
      <c r="Q81" s="5"/>
      <c r="R81" s="5"/>
      <c r="S81" s="5"/>
      <c r="T81" s="5"/>
      <c r="U81" s="5"/>
      <c r="V81" s="5"/>
      <c r="W81" s="5"/>
      <c r="X81" s="5"/>
      <c r="Y81" s="5"/>
      <c r="Z81" s="5"/>
    </row>
    <row r="82">
      <c r="A82" s="4" t="s">
        <v>174</v>
      </c>
      <c r="B82" s="4" t="s">
        <v>175</v>
      </c>
      <c r="C82" s="4" t="s">
        <v>176</v>
      </c>
      <c r="D82" s="5"/>
      <c r="E82" s="5"/>
      <c r="F82" s="5"/>
      <c r="G82" s="5"/>
      <c r="H82" s="5"/>
      <c r="I82" s="5"/>
      <c r="J82" s="5"/>
      <c r="K82" s="5"/>
      <c r="L82" s="5"/>
      <c r="M82" s="5"/>
      <c r="N82" s="5"/>
      <c r="O82" s="5"/>
      <c r="P82" s="5"/>
      <c r="Q82" s="5"/>
      <c r="R82" s="5"/>
      <c r="S82" s="5"/>
      <c r="T82" s="5"/>
      <c r="U82" s="5"/>
      <c r="V82" s="5"/>
      <c r="W82" s="5"/>
      <c r="X82" s="5"/>
      <c r="Y82" s="5"/>
      <c r="Z82" s="5"/>
    </row>
    <row r="83">
      <c r="A83" s="6" t="s">
        <v>177</v>
      </c>
      <c r="B83" s="6" t="s">
        <v>178</v>
      </c>
      <c r="C83" s="6" t="s">
        <v>179</v>
      </c>
      <c r="D83" s="5"/>
      <c r="E83" s="5"/>
      <c r="F83" s="5"/>
      <c r="G83" s="5"/>
      <c r="H83" s="5"/>
      <c r="I83" s="5"/>
      <c r="J83" s="5"/>
      <c r="K83" s="5"/>
      <c r="L83" s="5"/>
      <c r="M83" s="5"/>
      <c r="N83" s="5"/>
      <c r="O83" s="5"/>
      <c r="P83" s="5"/>
      <c r="Q83" s="5"/>
      <c r="R83" s="5"/>
      <c r="S83" s="5"/>
      <c r="T83" s="5"/>
      <c r="U83" s="5"/>
      <c r="V83" s="5"/>
      <c r="W83" s="5"/>
      <c r="X83" s="5"/>
      <c r="Y83" s="5"/>
      <c r="Z83" s="5"/>
    </row>
    <row r="84">
      <c r="A84" s="4" t="s">
        <v>177</v>
      </c>
      <c r="B84" s="4" t="s">
        <v>180</v>
      </c>
      <c r="C84" s="4" t="s">
        <v>181</v>
      </c>
      <c r="D84" s="5"/>
      <c r="E84" s="5"/>
      <c r="F84" s="5"/>
      <c r="G84" s="5"/>
      <c r="H84" s="5"/>
      <c r="I84" s="5"/>
      <c r="J84" s="5"/>
      <c r="K84" s="5"/>
      <c r="L84" s="5"/>
      <c r="M84" s="5"/>
      <c r="N84" s="5"/>
      <c r="O84" s="5"/>
      <c r="P84" s="5"/>
      <c r="Q84" s="5"/>
      <c r="R84" s="5"/>
      <c r="S84" s="5"/>
      <c r="T84" s="5"/>
      <c r="U84" s="5"/>
      <c r="V84" s="5"/>
      <c r="W84" s="5"/>
      <c r="X84" s="5"/>
      <c r="Y84" s="5"/>
      <c r="Z84" s="5"/>
    </row>
    <row r="85">
      <c r="A85" s="6" t="s">
        <v>177</v>
      </c>
      <c r="B85" s="6" t="s">
        <v>182</v>
      </c>
      <c r="C85" s="6" t="s">
        <v>183</v>
      </c>
      <c r="D85" s="5"/>
      <c r="E85" s="5"/>
      <c r="F85" s="5"/>
      <c r="G85" s="5"/>
      <c r="H85" s="5"/>
      <c r="I85" s="5"/>
      <c r="J85" s="5"/>
      <c r="K85" s="5"/>
      <c r="L85" s="5"/>
      <c r="M85" s="5"/>
      <c r="N85" s="5"/>
      <c r="O85" s="5"/>
      <c r="P85" s="5"/>
      <c r="Q85" s="5"/>
      <c r="R85" s="5"/>
      <c r="S85" s="5"/>
      <c r="T85" s="5"/>
      <c r="U85" s="5"/>
      <c r="V85" s="5"/>
      <c r="W85" s="5"/>
      <c r="X85" s="5"/>
      <c r="Y85" s="5"/>
      <c r="Z85" s="5"/>
    </row>
    <row r="86">
      <c r="A86" s="4" t="s">
        <v>177</v>
      </c>
      <c r="B86" s="4" t="s">
        <v>184</v>
      </c>
      <c r="C86" s="4" t="s">
        <v>185</v>
      </c>
      <c r="D86" s="5"/>
      <c r="E86" s="5"/>
      <c r="F86" s="5"/>
      <c r="G86" s="5"/>
      <c r="H86" s="5"/>
      <c r="I86" s="5"/>
      <c r="J86" s="5"/>
      <c r="K86" s="5"/>
      <c r="L86" s="5"/>
      <c r="M86" s="5"/>
      <c r="N86" s="5"/>
      <c r="O86" s="5"/>
      <c r="P86" s="5"/>
      <c r="Q86" s="5"/>
      <c r="R86" s="5"/>
      <c r="S86" s="5"/>
      <c r="T86" s="5"/>
      <c r="U86" s="5"/>
      <c r="V86" s="5"/>
      <c r="W86" s="5"/>
      <c r="X86" s="5"/>
      <c r="Y86" s="5"/>
      <c r="Z86" s="5"/>
    </row>
    <row r="87">
      <c r="A87" s="6" t="s">
        <v>177</v>
      </c>
      <c r="B87" s="6" t="s">
        <v>186</v>
      </c>
      <c r="C87" s="6" t="s">
        <v>187</v>
      </c>
      <c r="D87" s="5"/>
      <c r="E87" s="5"/>
      <c r="F87" s="5"/>
      <c r="G87" s="5"/>
      <c r="H87" s="5"/>
      <c r="I87" s="5"/>
      <c r="J87" s="5"/>
      <c r="K87" s="5"/>
      <c r="L87" s="5"/>
      <c r="M87" s="5"/>
      <c r="N87" s="5"/>
      <c r="O87" s="5"/>
      <c r="P87" s="5"/>
      <c r="Q87" s="5"/>
      <c r="R87" s="5"/>
      <c r="S87" s="5"/>
      <c r="T87" s="5"/>
      <c r="U87" s="5"/>
      <c r="V87" s="5"/>
      <c r="W87" s="5"/>
      <c r="X87" s="5"/>
      <c r="Y87" s="5"/>
      <c r="Z87" s="5"/>
    </row>
    <row r="88">
      <c r="A88" s="4" t="s">
        <v>177</v>
      </c>
      <c r="B88" s="4" t="s">
        <v>188</v>
      </c>
      <c r="C88" s="4" t="s">
        <v>189</v>
      </c>
      <c r="D88" s="5"/>
      <c r="E88" s="5"/>
      <c r="F88" s="5"/>
      <c r="G88" s="5"/>
      <c r="H88" s="5"/>
      <c r="I88" s="5"/>
      <c r="J88" s="5"/>
      <c r="K88" s="5"/>
      <c r="L88" s="5"/>
      <c r="M88" s="5"/>
      <c r="N88" s="5"/>
      <c r="O88" s="5"/>
      <c r="P88" s="5"/>
      <c r="Q88" s="5"/>
      <c r="R88" s="5"/>
      <c r="S88" s="5"/>
      <c r="T88" s="5"/>
      <c r="U88" s="5"/>
      <c r="V88" s="5"/>
      <c r="W88" s="5"/>
      <c r="X88" s="5"/>
      <c r="Y88" s="5"/>
      <c r="Z88" s="5"/>
    </row>
    <row r="89">
      <c r="A89" s="6" t="s">
        <v>177</v>
      </c>
      <c r="B89" s="6" t="s">
        <v>190</v>
      </c>
      <c r="C89" s="6" t="s">
        <v>191</v>
      </c>
      <c r="D89" s="5"/>
      <c r="E89" s="5"/>
      <c r="F89" s="5"/>
      <c r="G89" s="5"/>
      <c r="H89" s="5"/>
      <c r="I89" s="5"/>
      <c r="J89" s="5"/>
      <c r="K89" s="5"/>
      <c r="L89" s="5"/>
      <c r="M89" s="5"/>
      <c r="N89" s="5"/>
      <c r="O89" s="5"/>
      <c r="P89" s="5"/>
      <c r="Q89" s="5"/>
      <c r="R89" s="5"/>
      <c r="S89" s="5"/>
      <c r="T89" s="5"/>
      <c r="U89" s="5"/>
      <c r="V89" s="5"/>
      <c r="W89" s="5"/>
      <c r="X89" s="5"/>
      <c r="Y89" s="5"/>
      <c r="Z89" s="5"/>
    </row>
    <row r="90">
      <c r="A90" s="4" t="s">
        <v>192</v>
      </c>
      <c r="B90" s="4" t="s">
        <v>193</v>
      </c>
      <c r="C90" s="4" t="s">
        <v>194</v>
      </c>
      <c r="D90" s="5"/>
      <c r="E90" s="5"/>
      <c r="F90" s="5"/>
      <c r="G90" s="5"/>
      <c r="H90" s="5"/>
      <c r="I90" s="5"/>
      <c r="J90" s="5"/>
      <c r="K90" s="5"/>
      <c r="L90" s="5"/>
      <c r="M90" s="5"/>
      <c r="N90" s="5"/>
      <c r="O90" s="5"/>
      <c r="P90" s="5"/>
      <c r="Q90" s="5"/>
      <c r="R90" s="5"/>
      <c r="S90" s="5"/>
      <c r="T90" s="5"/>
      <c r="U90" s="5"/>
      <c r="V90" s="5"/>
      <c r="W90" s="5"/>
      <c r="X90" s="5"/>
      <c r="Y90" s="5"/>
      <c r="Z90" s="5"/>
    </row>
    <row r="91">
      <c r="A91" s="6" t="s">
        <v>192</v>
      </c>
      <c r="B91" s="6" t="s">
        <v>195</v>
      </c>
      <c r="C91" s="6" t="s">
        <v>196</v>
      </c>
      <c r="D91" s="5"/>
      <c r="E91" s="5"/>
      <c r="F91" s="5"/>
      <c r="G91" s="5"/>
      <c r="H91" s="5"/>
      <c r="I91" s="5"/>
      <c r="J91" s="5"/>
      <c r="K91" s="5"/>
      <c r="L91" s="5"/>
      <c r="M91" s="5"/>
      <c r="N91" s="5"/>
      <c r="O91" s="5"/>
      <c r="P91" s="5"/>
      <c r="Q91" s="5"/>
      <c r="R91" s="5"/>
      <c r="S91" s="5"/>
      <c r="T91" s="5"/>
      <c r="U91" s="5"/>
      <c r="V91" s="5"/>
      <c r="W91" s="5"/>
      <c r="X91" s="5"/>
      <c r="Y91" s="5"/>
      <c r="Z91" s="5"/>
    </row>
    <row r="92">
      <c r="A92" s="4" t="s">
        <v>192</v>
      </c>
      <c r="B92" s="4" t="s">
        <v>197</v>
      </c>
      <c r="C92" s="4" t="s">
        <v>198</v>
      </c>
      <c r="D92" s="5"/>
      <c r="E92" s="5"/>
      <c r="F92" s="5"/>
      <c r="G92" s="5"/>
      <c r="H92" s="5"/>
      <c r="I92" s="5"/>
      <c r="J92" s="5"/>
      <c r="K92" s="5"/>
      <c r="L92" s="5"/>
      <c r="M92" s="5"/>
      <c r="N92" s="5"/>
      <c r="O92" s="5"/>
      <c r="P92" s="5"/>
      <c r="Q92" s="5"/>
      <c r="R92" s="5"/>
      <c r="S92" s="5"/>
      <c r="T92" s="5"/>
      <c r="U92" s="5"/>
      <c r="V92" s="5"/>
      <c r="W92" s="5"/>
      <c r="X92" s="5"/>
      <c r="Y92" s="5"/>
      <c r="Z92" s="5"/>
    </row>
    <row r="93">
      <c r="A93" s="6" t="s">
        <v>192</v>
      </c>
      <c r="B93" s="6" t="s">
        <v>199</v>
      </c>
      <c r="C93" s="6" t="s">
        <v>200</v>
      </c>
      <c r="D93" s="5"/>
      <c r="E93" s="5"/>
      <c r="F93" s="5"/>
      <c r="G93" s="5"/>
      <c r="H93" s="5"/>
      <c r="I93" s="5"/>
      <c r="J93" s="5"/>
      <c r="K93" s="5"/>
      <c r="L93" s="5"/>
      <c r="M93" s="5"/>
      <c r="N93" s="5"/>
      <c r="O93" s="5"/>
      <c r="P93" s="5"/>
      <c r="Q93" s="5"/>
      <c r="R93" s="5"/>
      <c r="S93" s="5"/>
      <c r="T93" s="5"/>
      <c r="U93" s="5"/>
      <c r="V93" s="5"/>
      <c r="W93" s="5"/>
      <c r="X93" s="5"/>
      <c r="Y93" s="5"/>
      <c r="Z93" s="5"/>
    </row>
    <row r="94">
      <c r="A94" s="4" t="s">
        <v>192</v>
      </c>
      <c r="B94" s="4" t="s">
        <v>201</v>
      </c>
      <c r="C94" s="7" t="s">
        <v>202</v>
      </c>
      <c r="D94" s="5"/>
      <c r="E94" s="5"/>
      <c r="F94" s="5"/>
      <c r="G94" s="5"/>
      <c r="H94" s="5"/>
      <c r="I94" s="5"/>
      <c r="J94" s="5"/>
      <c r="K94" s="5"/>
      <c r="L94" s="5"/>
      <c r="M94" s="5"/>
      <c r="N94" s="5"/>
      <c r="O94" s="5"/>
      <c r="P94" s="5"/>
      <c r="Q94" s="5"/>
      <c r="R94" s="5"/>
      <c r="S94" s="5"/>
      <c r="T94" s="5"/>
      <c r="U94" s="5"/>
      <c r="V94" s="5"/>
      <c r="W94" s="5"/>
      <c r="X94" s="5"/>
      <c r="Y94" s="5"/>
      <c r="Z94" s="5"/>
    </row>
    <row r="95">
      <c r="A95" s="6" t="s">
        <v>203</v>
      </c>
      <c r="B95" s="6" t="s">
        <v>204</v>
      </c>
      <c r="C95" s="6" t="s">
        <v>205</v>
      </c>
      <c r="D95" s="5"/>
      <c r="E95" s="5"/>
      <c r="F95" s="5"/>
      <c r="G95" s="5"/>
      <c r="H95" s="5"/>
      <c r="I95" s="5"/>
      <c r="J95" s="5"/>
      <c r="K95" s="5"/>
      <c r="L95" s="5"/>
      <c r="M95" s="5"/>
      <c r="N95" s="5"/>
      <c r="O95" s="5"/>
      <c r="P95" s="5"/>
      <c r="Q95" s="5"/>
      <c r="R95" s="5"/>
      <c r="S95" s="5"/>
      <c r="T95" s="5"/>
      <c r="U95" s="5"/>
      <c r="V95" s="5"/>
      <c r="W95" s="5"/>
      <c r="X95" s="5"/>
      <c r="Y95" s="5"/>
      <c r="Z95" s="5"/>
    </row>
    <row r="96">
      <c r="A96" s="4" t="s">
        <v>203</v>
      </c>
      <c r="B96" s="4" t="s">
        <v>206</v>
      </c>
      <c r="C96" s="4" t="s">
        <v>207</v>
      </c>
      <c r="D96" s="5"/>
      <c r="E96" s="5"/>
      <c r="F96" s="5"/>
      <c r="G96" s="5"/>
      <c r="H96" s="5"/>
      <c r="I96" s="5"/>
      <c r="J96" s="5"/>
      <c r="K96" s="5"/>
      <c r="L96" s="5"/>
      <c r="M96" s="5"/>
      <c r="N96" s="5"/>
      <c r="O96" s="5"/>
      <c r="P96" s="5"/>
      <c r="Q96" s="5"/>
      <c r="R96" s="5"/>
      <c r="S96" s="5"/>
      <c r="T96" s="5"/>
      <c r="U96" s="5"/>
      <c r="V96" s="5"/>
      <c r="W96" s="5"/>
      <c r="X96" s="5"/>
      <c r="Y96" s="5"/>
      <c r="Z96" s="5"/>
    </row>
    <row r="97">
      <c r="A97" s="6" t="s">
        <v>208</v>
      </c>
      <c r="B97" s="6" t="s">
        <v>209</v>
      </c>
      <c r="C97" s="6" t="s">
        <v>210</v>
      </c>
      <c r="D97" s="5"/>
      <c r="E97" s="5"/>
      <c r="F97" s="5"/>
      <c r="G97" s="5"/>
      <c r="H97" s="5"/>
      <c r="I97" s="5"/>
      <c r="J97" s="5"/>
      <c r="K97" s="5"/>
      <c r="L97" s="5"/>
      <c r="M97" s="5"/>
      <c r="N97" s="5"/>
      <c r="O97" s="5"/>
      <c r="P97" s="5"/>
      <c r="Q97" s="5"/>
      <c r="R97" s="5"/>
      <c r="S97" s="5"/>
      <c r="T97" s="5"/>
      <c r="U97" s="5"/>
      <c r="V97" s="5"/>
      <c r="W97" s="5"/>
      <c r="X97" s="5"/>
      <c r="Y97" s="5"/>
      <c r="Z97" s="5"/>
    </row>
    <row r="98">
      <c r="A98" s="4" t="s">
        <v>192</v>
      </c>
      <c r="B98" s="4" t="s">
        <v>211</v>
      </c>
      <c r="C98" s="4" t="s">
        <v>212</v>
      </c>
      <c r="D98" s="5"/>
      <c r="E98" s="5"/>
      <c r="F98" s="5"/>
      <c r="G98" s="5"/>
      <c r="H98" s="5"/>
      <c r="I98" s="5"/>
      <c r="J98" s="5"/>
      <c r="K98" s="5"/>
      <c r="L98" s="5"/>
      <c r="M98" s="5"/>
      <c r="N98" s="5"/>
      <c r="O98" s="5"/>
      <c r="P98" s="5"/>
      <c r="Q98" s="5"/>
      <c r="R98" s="5"/>
      <c r="S98" s="5"/>
      <c r="T98" s="5"/>
      <c r="U98" s="5"/>
      <c r="V98" s="5"/>
      <c r="W98" s="5"/>
      <c r="X98" s="5"/>
      <c r="Y98" s="5"/>
      <c r="Z98" s="5"/>
    </row>
    <row r="99">
      <c r="A99" s="6" t="s">
        <v>213</v>
      </c>
      <c r="B99" s="6" t="s">
        <v>214</v>
      </c>
      <c r="C99" s="6" t="s">
        <v>215</v>
      </c>
      <c r="D99" s="5"/>
      <c r="E99" s="5"/>
      <c r="F99" s="5"/>
      <c r="G99" s="5"/>
      <c r="H99" s="5"/>
      <c r="I99" s="5"/>
      <c r="J99" s="5"/>
      <c r="K99" s="5"/>
      <c r="L99" s="5"/>
      <c r="M99" s="5"/>
      <c r="N99" s="5"/>
      <c r="O99" s="5"/>
      <c r="P99" s="5"/>
      <c r="Q99" s="5"/>
      <c r="R99" s="5"/>
      <c r="S99" s="5"/>
      <c r="T99" s="5"/>
      <c r="U99" s="5"/>
      <c r="V99" s="5"/>
      <c r="W99" s="5"/>
      <c r="X99" s="5"/>
      <c r="Y99" s="5"/>
      <c r="Z99" s="5"/>
    </row>
    <row r="100">
      <c r="A100" s="4" t="s">
        <v>213</v>
      </c>
      <c r="B100" s="4" t="s">
        <v>216</v>
      </c>
      <c r="C100" s="4" t="s">
        <v>217</v>
      </c>
      <c r="D100" s="5"/>
      <c r="E100" s="5"/>
      <c r="F100" s="5"/>
      <c r="G100" s="5"/>
      <c r="H100" s="5"/>
      <c r="I100" s="5"/>
      <c r="J100" s="5"/>
      <c r="K100" s="5"/>
      <c r="L100" s="5"/>
      <c r="M100" s="5"/>
      <c r="N100" s="5"/>
      <c r="O100" s="5"/>
      <c r="P100" s="5"/>
      <c r="Q100" s="5"/>
      <c r="R100" s="5"/>
      <c r="S100" s="5"/>
      <c r="T100" s="5"/>
      <c r="U100" s="5"/>
      <c r="V100" s="5"/>
      <c r="W100" s="5"/>
      <c r="X100" s="5"/>
      <c r="Y100" s="5"/>
      <c r="Z100" s="5"/>
    </row>
    <row r="101">
      <c r="A101" s="6" t="s">
        <v>218</v>
      </c>
      <c r="B101" s="6" t="s">
        <v>219</v>
      </c>
      <c r="C101" s="10" t="s">
        <v>220</v>
      </c>
      <c r="D101" s="5"/>
      <c r="E101" s="5"/>
      <c r="F101" s="5"/>
      <c r="G101" s="5"/>
      <c r="H101" s="5"/>
      <c r="I101" s="5"/>
      <c r="J101" s="5"/>
      <c r="K101" s="5"/>
      <c r="L101" s="5"/>
      <c r="M101" s="5"/>
      <c r="N101" s="5"/>
      <c r="O101" s="5"/>
      <c r="P101" s="5"/>
      <c r="Q101" s="5"/>
      <c r="R101" s="5"/>
      <c r="S101" s="5"/>
      <c r="T101" s="5"/>
      <c r="U101" s="5"/>
      <c r="V101" s="5"/>
      <c r="W101" s="5"/>
      <c r="X101" s="5"/>
      <c r="Y101" s="5"/>
      <c r="Z101" s="5"/>
    </row>
    <row r="102">
      <c r="A102" s="14" t="s">
        <v>221</v>
      </c>
      <c r="B102" s="14" t="s">
        <v>222</v>
      </c>
      <c r="C102" s="15" t="s">
        <v>223</v>
      </c>
    </row>
    <row r="103">
      <c r="A103" s="16" t="s">
        <v>224</v>
      </c>
      <c r="B103" s="10" t="s">
        <v>225</v>
      </c>
      <c r="C103" s="10" t="s">
        <v>226</v>
      </c>
    </row>
    <row r="104">
      <c r="A104" s="14" t="s">
        <v>224</v>
      </c>
      <c r="B104" s="17" t="s">
        <v>227</v>
      </c>
      <c r="C104" s="17" t="s">
        <v>228</v>
      </c>
    </row>
    <row r="105">
      <c r="A105" s="16" t="s">
        <v>224</v>
      </c>
      <c r="B105" s="10" t="s">
        <v>229</v>
      </c>
      <c r="C105" s="10" t="s">
        <v>230</v>
      </c>
    </row>
    <row r="106">
      <c r="A106" s="14" t="s">
        <v>224</v>
      </c>
      <c r="B106" s="14" t="s">
        <v>231</v>
      </c>
      <c r="C106" s="14" t="s">
        <v>232</v>
      </c>
    </row>
    <row r="107">
      <c r="A107" s="16" t="s">
        <v>224</v>
      </c>
      <c r="B107" s="6" t="s">
        <v>233</v>
      </c>
      <c r="C107" s="9" t="s">
        <v>234</v>
      </c>
    </row>
    <row r="108">
      <c r="A108" s="14" t="s">
        <v>224</v>
      </c>
      <c r="B108" s="17" t="s">
        <v>235</v>
      </c>
      <c r="C108" s="17" t="s">
        <v>236</v>
      </c>
    </row>
    <row r="109">
      <c r="A109" s="16" t="s">
        <v>224</v>
      </c>
      <c r="B109" s="6" t="s">
        <v>237</v>
      </c>
      <c r="C109" s="9" t="s">
        <v>238</v>
      </c>
    </row>
    <row r="110">
      <c r="A110" s="14" t="s">
        <v>224</v>
      </c>
      <c r="B110" s="14" t="s">
        <v>239</v>
      </c>
      <c r="C110" s="14" t="s">
        <v>240</v>
      </c>
    </row>
    <row r="111">
      <c r="A111" s="10" t="s">
        <v>224</v>
      </c>
      <c r="B111" s="10" t="s">
        <v>241</v>
      </c>
      <c r="C111" s="10" t="s">
        <v>242</v>
      </c>
    </row>
    <row r="112">
      <c r="A112" s="14" t="s">
        <v>224</v>
      </c>
      <c r="B112" s="14" t="s">
        <v>243</v>
      </c>
      <c r="C112" s="14" t="s">
        <v>244</v>
      </c>
    </row>
    <row r="113">
      <c r="A113" s="16" t="s">
        <v>224</v>
      </c>
      <c r="B113" s="10" t="s">
        <v>245</v>
      </c>
      <c r="C113" s="6" t="s">
        <v>246</v>
      </c>
    </row>
    <row r="114">
      <c r="A114" s="18" t="s">
        <v>224</v>
      </c>
      <c r="B114" s="18" t="s">
        <v>247</v>
      </c>
      <c r="C114" s="18" t="s">
        <v>248</v>
      </c>
      <c r="D114" s="5"/>
      <c r="E114" s="5"/>
      <c r="F114" s="5"/>
      <c r="G114" s="5"/>
      <c r="H114" s="5"/>
      <c r="I114" s="5"/>
      <c r="J114" s="5"/>
      <c r="K114" s="5"/>
      <c r="L114" s="5"/>
      <c r="M114" s="5"/>
      <c r="N114" s="5"/>
      <c r="O114" s="5"/>
      <c r="P114" s="5"/>
      <c r="Q114" s="5"/>
      <c r="R114" s="5"/>
      <c r="S114" s="5"/>
      <c r="T114" s="5"/>
      <c r="U114" s="5"/>
      <c r="V114" s="5"/>
      <c r="W114" s="5"/>
      <c r="X114" s="5"/>
      <c r="Y114" s="5"/>
      <c r="Z114" s="5"/>
    </row>
    <row r="115">
      <c r="A115" s="10" t="s">
        <v>224</v>
      </c>
      <c r="B115" s="10" t="s">
        <v>249</v>
      </c>
      <c r="C115" s="10" t="s">
        <v>250</v>
      </c>
    </row>
    <row r="116">
      <c r="A116" s="14" t="s">
        <v>224</v>
      </c>
      <c r="B116" s="14" t="s">
        <v>251</v>
      </c>
      <c r="C116" s="15" t="s">
        <v>252</v>
      </c>
    </row>
    <row r="117">
      <c r="A117" s="10" t="s">
        <v>224</v>
      </c>
      <c r="B117" s="10" t="s">
        <v>253</v>
      </c>
      <c r="C117" s="10" t="s">
        <v>254</v>
      </c>
    </row>
    <row r="118">
      <c r="A118" s="18" t="s">
        <v>224</v>
      </c>
      <c r="B118" s="18" t="s">
        <v>255</v>
      </c>
      <c r="C118" s="18" t="s">
        <v>256</v>
      </c>
    </row>
    <row r="119">
      <c r="A119" s="6"/>
      <c r="B119" s="6"/>
      <c r="C119" s="6"/>
    </row>
    <row r="120">
      <c r="A120" s="17"/>
      <c r="B120" s="17"/>
      <c r="C120" s="17"/>
    </row>
    <row r="121">
      <c r="A121" s="6"/>
      <c r="B121" s="6"/>
      <c r="C121" s="6"/>
    </row>
    <row r="122">
      <c r="A122" s="17"/>
      <c r="B122" s="17"/>
      <c r="C122" s="17"/>
    </row>
    <row r="123">
      <c r="A123" s="6"/>
      <c r="B123" s="6"/>
      <c r="C123" s="6"/>
    </row>
    <row r="124">
      <c r="A124" s="17"/>
      <c r="B124" s="17"/>
      <c r="C124" s="17"/>
    </row>
    <row r="125">
      <c r="A125" s="6"/>
      <c r="B125" s="6"/>
      <c r="C125" s="6"/>
    </row>
    <row r="126">
      <c r="A126" s="17"/>
      <c r="B126" s="17"/>
      <c r="C126" s="17"/>
    </row>
    <row r="127">
      <c r="A127" s="6"/>
      <c r="B127" s="6"/>
      <c r="C127" s="6"/>
    </row>
    <row r="128">
      <c r="A128" s="17"/>
      <c r="B128" s="17"/>
      <c r="C128" s="17"/>
    </row>
    <row r="129">
      <c r="A129" s="6"/>
      <c r="B129" s="6"/>
      <c r="C129" s="6"/>
    </row>
    <row r="130">
      <c r="A130" s="17"/>
      <c r="B130" s="17"/>
      <c r="C130" s="17"/>
    </row>
    <row r="131">
      <c r="A131" s="6"/>
      <c r="B131" s="6"/>
      <c r="C131" s="6"/>
    </row>
    <row r="132">
      <c r="A132" s="17"/>
      <c r="B132" s="17"/>
      <c r="C132" s="17"/>
    </row>
    <row r="133">
      <c r="A133" s="6"/>
      <c r="B133" s="6"/>
      <c r="C133" s="6"/>
    </row>
    <row r="134">
      <c r="A134" s="17"/>
      <c r="B134" s="17"/>
      <c r="C134" s="17"/>
    </row>
    <row r="135">
      <c r="A135" s="6"/>
      <c r="B135" s="6"/>
      <c r="C135" s="6"/>
    </row>
    <row r="136">
      <c r="A136" s="5"/>
      <c r="B136" s="5"/>
      <c r="C136" s="5"/>
    </row>
    <row r="137">
      <c r="A137" s="5"/>
      <c r="B137" s="5"/>
      <c r="C137" s="5"/>
    </row>
    <row r="138">
      <c r="A138" s="5"/>
      <c r="B138" s="5"/>
      <c r="C138" s="5"/>
    </row>
    <row r="139">
      <c r="A139" s="5"/>
      <c r="B139" s="5"/>
      <c r="C139" s="5"/>
    </row>
    <row r="140">
      <c r="A140" s="5"/>
      <c r="B140" s="5"/>
      <c r="C140" s="5"/>
    </row>
    <row r="141">
      <c r="A141" s="5"/>
      <c r="B141" s="5"/>
      <c r="C141" s="5"/>
    </row>
    <row r="142">
      <c r="A142" s="5"/>
      <c r="B142" s="5"/>
      <c r="C142" s="5"/>
    </row>
    <row r="143">
      <c r="A143" s="5"/>
      <c r="B143" s="5"/>
      <c r="C143" s="5"/>
    </row>
    <row r="144">
      <c r="A144" s="5"/>
      <c r="B144" s="5"/>
      <c r="C144" s="5"/>
    </row>
    <row r="145">
      <c r="A145" s="5"/>
      <c r="B145" s="5"/>
      <c r="C145" s="5"/>
    </row>
    <row r="146">
      <c r="A146" s="5"/>
      <c r="B146" s="5"/>
      <c r="C146" s="5"/>
    </row>
    <row r="147">
      <c r="A147" s="5"/>
      <c r="B147" s="5"/>
      <c r="C147" s="5"/>
    </row>
    <row r="148">
      <c r="A148" s="5"/>
      <c r="B148" s="5"/>
      <c r="C148" s="5"/>
    </row>
    <row r="149">
      <c r="A149" s="5"/>
      <c r="B149" s="5"/>
      <c r="C149" s="5"/>
    </row>
    <row r="150">
      <c r="A150" s="5"/>
      <c r="B150" s="5"/>
      <c r="C150" s="5"/>
    </row>
    <row r="151">
      <c r="A151" s="5"/>
      <c r="B151" s="5"/>
      <c r="C151" s="5"/>
    </row>
    <row r="152">
      <c r="A152" s="5"/>
      <c r="B152" s="5"/>
      <c r="C152" s="5"/>
    </row>
    <row r="153">
      <c r="A153" s="5"/>
      <c r="B153" s="5"/>
      <c r="C153" s="5"/>
    </row>
    <row r="154">
      <c r="A154" s="5"/>
      <c r="B154" s="5"/>
      <c r="C154" s="5"/>
    </row>
    <row r="155">
      <c r="A155" s="5"/>
      <c r="B155" s="5"/>
      <c r="C155" s="5"/>
    </row>
    <row r="156">
      <c r="A156" s="5"/>
      <c r="B156" s="5"/>
      <c r="C156" s="5"/>
    </row>
    <row r="157">
      <c r="A157" s="5"/>
      <c r="B157" s="5"/>
      <c r="C157" s="5"/>
    </row>
    <row r="158">
      <c r="A158" s="5"/>
      <c r="B158" s="5"/>
      <c r="C158" s="5"/>
    </row>
    <row r="159">
      <c r="A159" s="5"/>
      <c r="B159" s="5"/>
      <c r="C159" s="5"/>
    </row>
    <row r="160">
      <c r="A160" s="5"/>
      <c r="B160" s="5"/>
      <c r="C160" s="5"/>
    </row>
    <row r="161">
      <c r="A161" s="5"/>
      <c r="B161" s="5"/>
      <c r="C161" s="5"/>
    </row>
    <row r="162">
      <c r="A162" s="5"/>
      <c r="B162" s="5"/>
      <c r="C162" s="5"/>
    </row>
    <row r="163">
      <c r="A163" s="5"/>
      <c r="B163" s="5"/>
      <c r="C163" s="5"/>
    </row>
    <row r="164">
      <c r="A164" s="5"/>
      <c r="B164" s="5"/>
      <c r="C164" s="5"/>
    </row>
    <row r="165">
      <c r="A165" s="5"/>
      <c r="B165" s="5"/>
      <c r="C165" s="5"/>
    </row>
    <row r="166">
      <c r="A166" s="5"/>
      <c r="B166" s="5"/>
      <c r="C166" s="5"/>
    </row>
    <row r="167">
      <c r="A167" s="5"/>
      <c r="B167" s="5"/>
      <c r="C167" s="5"/>
    </row>
    <row r="168">
      <c r="A168" s="5"/>
      <c r="B168" s="5"/>
      <c r="C168" s="5"/>
    </row>
    <row r="169">
      <c r="A169" s="5"/>
      <c r="B169" s="5"/>
      <c r="C169" s="5"/>
    </row>
    <row r="170">
      <c r="A170" s="5"/>
      <c r="B170" s="5"/>
      <c r="C170" s="5"/>
    </row>
    <row r="171">
      <c r="A171" s="5"/>
      <c r="B171" s="5"/>
      <c r="C171" s="5"/>
    </row>
    <row r="172">
      <c r="A172" s="5"/>
      <c r="B172" s="5"/>
      <c r="C172" s="5"/>
    </row>
    <row r="173">
      <c r="A173" s="5"/>
      <c r="B173" s="5"/>
      <c r="C173" s="5"/>
    </row>
    <row r="174">
      <c r="A174" s="5"/>
      <c r="B174" s="5"/>
      <c r="C174" s="5"/>
    </row>
    <row r="175">
      <c r="A175" s="5"/>
      <c r="B175" s="5"/>
      <c r="C175" s="5"/>
    </row>
    <row r="176">
      <c r="A176" s="5"/>
      <c r="B176" s="5"/>
      <c r="C176" s="5"/>
    </row>
    <row r="177">
      <c r="A177" s="5"/>
      <c r="B177" s="5"/>
      <c r="C177" s="5"/>
    </row>
    <row r="178">
      <c r="A178" s="5"/>
      <c r="B178" s="5"/>
      <c r="C178" s="5"/>
    </row>
    <row r="179">
      <c r="A179" s="5"/>
      <c r="B179" s="5"/>
      <c r="C179" s="5"/>
    </row>
    <row r="180">
      <c r="A180" s="5"/>
      <c r="B180" s="5"/>
      <c r="C180" s="5"/>
    </row>
    <row r="181">
      <c r="A181" s="5"/>
      <c r="B181" s="5"/>
      <c r="C181" s="5"/>
    </row>
    <row r="182">
      <c r="A182" s="5"/>
      <c r="B182" s="5"/>
      <c r="C182" s="5"/>
    </row>
    <row r="183">
      <c r="A183" s="5"/>
      <c r="B183" s="5"/>
      <c r="C183" s="5"/>
    </row>
    <row r="184">
      <c r="A184" s="5"/>
      <c r="B184" s="5"/>
      <c r="C184" s="5"/>
    </row>
    <row r="185">
      <c r="A185" s="5"/>
      <c r="B185" s="5"/>
      <c r="C185" s="5"/>
    </row>
    <row r="186">
      <c r="A186" s="5"/>
      <c r="B186" s="5"/>
      <c r="C186" s="5"/>
    </row>
    <row r="187">
      <c r="A187" s="5"/>
      <c r="B187" s="5"/>
      <c r="C187" s="5"/>
    </row>
    <row r="188">
      <c r="A188" s="5"/>
      <c r="B188" s="5"/>
      <c r="C188" s="5"/>
    </row>
    <row r="189">
      <c r="A189" s="5"/>
      <c r="B189" s="5"/>
      <c r="C189" s="5"/>
    </row>
    <row r="190">
      <c r="A190" s="5"/>
      <c r="B190" s="5"/>
      <c r="C190" s="5"/>
    </row>
    <row r="191">
      <c r="A191" s="5"/>
      <c r="B191" s="5"/>
      <c r="C191" s="5"/>
    </row>
    <row r="192">
      <c r="A192" s="5"/>
      <c r="B192" s="5"/>
      <c r="C192" s="5"/>
    </row>
    <row r="193">
      <c r="A193" s="5"/>
      <c r="B193" s="5"/>
      <c r="C193" s="5"/>
    </row>
    <row r="194">
      <c r="A194" s="5"/>
      <c r="B194" s="5"/>
      <c r="C194" s="5"/>
    </row>
    <row r="195">
      <c r="A195" s="5"/>
      <c r="B195" s="5"/>
      <c r="C195" s="5"/>
    </row>
    <row r="196">
      <c r="A196" s="5"/>
      <c r="B196" s="5"/>
      <c r="C196" s="5"/>
    </row>
    <row r="197">
      <c r="A197" s="5"/>
      <c r="B197" s="5"/>
      <c r="C197" s="5"/>
    </row>
    <row r="198">
      <c r="A198" s="5"/>
      <c r="B198" s="5"/>
      <c r="C198" s="5"/>
    </row>
    <row r="199">
      <c r="A199" s="5"/>
      <c r="B199" s="5"/>
      <c r="C199" s="5"/>
    </row>
    <row r="200">
      <c r="A200" s="5"/>
      <c r="B200" s="5"/>
      <c r="C200" s="5"/>
    </row>
    <row r="201">
      <c r="A201" s="5"/>
      <c r="B201" s="5"/>
      <c r="C201" s="5"/>
    </row>
    <row r="202">
      <c r="A202" s="5"/>
      <c r="B202" s="5"/>
      <c r="C202" s="5"/>
    </row>
    <row r="203">
      <c r="A203" s="5"/>
      <c r="B203" s="5"/>
      <c r="C203" s="5"/>
    </row>
    <row r="204">
      <c r="A204" s="5"/>
      <c r="B204" s="5"/>
      <c r="C204" s="5"/>
    </row>
    <row r="205">
      <c r="A205" s="5"/>
      <c r="B205" s="5"/>
      <c r="C205" s="5"/>
    </row>
    <row r="206">
      <c r="A206" s="5"/>
      <c r="B206" s="5"/>
      <c r="C206" s="5"/>
    </row>
    <row r="207">
      <c r="A207" s="5"/>
      <c r="B207" s="5"/>
      <c r="C207" s="5"/>
    </row>
    <row r="208">
      <c r="A208" s="5"/>
      <c r="B208" s="5"/>
      <c r="C208" s="5"/>
    </row>
    <row r="209">
      <c r="A209" s="5"/>
      <c r="B209" s="5"/>
      <c r="C209" s="5"/>
    </row>
    <row r="210">
      <c r="A210" s="5"/>
      <c r="B210" s="5"/>
      <c r="C210" s="5"/>
    </row>
    <row r="211">
      <c r="A211" s="5"/>
      <c r="B211" s="5"/>
      <c r="C211" s="5"/>
    </row>
    <row r="212">
      <c r="A212" s="5"/>
      <c r="B212" s="5"/>
      <c r="C212" s="5"/>
    </row>
    <row r="213">
      <c r="A213" s="5"/>
      <c r="B213" s="5"/>
      <c r="C213" s="5"/>
    </row>
    <row r="214">
      <c r="A214" s="5"/>
      <c r="B214" s="5"/>
      <c r="C214" s="5"/>
    </row>
    <row r="215">
      <c r="A215" s="5"/>
      <c r="B215" s="5"/>
      <c r="C215" s="5"/>
    </row>
    <row r="216">
      <c r="A216" s="5"/>
      <c r="B216" s="5"/>
      <c r="C216" s="5"/>
    </row>
    <row r="217">
      <c r="A217" s="5"/>
      <c r="B217" s="5"/>
      <c r="C217" s="5"/>
    </row>
    <row r="218">
      <c r="A218" s="5"/>
      <c r="B218" s="5"/>
      <c r="C218" s="5"/>
    </row>
    <row r="219">
      <c r="A219" s="5"/>
      <c r="B219" s="5"/>
      <c r="C219" s="5"/>
    </row>
    <row r="220">
      <c r="A220" s="5"/>
      <c r="B220" s="5"/>
      <c r="C220" s="5"/>
    </row>
    <row r="221">
      <c r="A221" s="5"/>
      <c r="B221" s="5"/>
      <c r="C221" s="5"/>
    </row>
    <row r="222">
      <c r="A222" s="5"/>
      <c r="B222" s="5"/>
      <c r="C222" s="5"/>
    </row>
    <row r="223">
      <c r="A223" s="5"/>
      <c r="B223" s="5"/>
      <c r="C223" s="5"/>
    </row>
    <row r="224">
      <c r="A224" s="5"/>
      <c r="B224" s="5"/>
      <c r="C224" s="5"/>
    </row>
    <row r="225">
      <c r="A225" s="5"/>
      <c r="B225" s="5"/>
      <c r="C225" s="5"/>
    </row>
    <row r="226">
      <c r="A226" s="5"/>
      <c r="B226" s="5"/>
      <c r="C226" s="5"/>
    </row>
    <row r="227">
      <c r="A227" s="5"/>
      <c r="B227" s="5"/>
      <c r="C227" s="5"/>
    </row>
    <row r="228">
      <c r="A228" s="5"/>
      <c r="B228" s="5"/>
      <c r="C228" s="5"/>
    </row>
    <row r="229">
      <c r="A229" s="5"/>
      <c r="B229" s="5"/>
      <c r="C229" s="5"/>
    </row>
    <row r="230">
      <c r="A230" s="5"/>
      <c r="B230" s="5"/>
      <c r="C230" s="5"/>
    </row>
    <row r="231">
      <c r="A231" s="5"/>
      <c r="B231" s="5"/>
      <c r="C231" s="5"/>
    </row>
    <row r="232">
      <c r="A232" s="5"/>
      <c r="B232" s="5"/>
      <c r="C232" s="5"/>
    </row>
    <row r="233">
      <c r="A233" s="5"/>
      <c r="B233" s="5"/>
      <c r="C233" s="5"/>
    </row>
    <row r="234">
      <c r="A234" s="5"/>
      <c r="B234" s="5"/>
      <c r="C234" s="5"/>
    </row>
    <row r="235">
      <c r="A235" s="5"/>
      <c r="B235" s="5"/>
      <c r="C235" s="5"/>
    </row>
    <row r="236">
      <c r="A236" s="5"/>
      <c r="B236" s="5"/>
      <c r="C236" s="5"/>
    </row>
    <row r="237">
      <c r="A237" s="5"/>
      <c r="B237" s="5"/>
      <c r="C237" s="5"/>
    </row>
    <row r="238">
      <c r="A238" s="5"/>
      <c r="B238" s="5"/>
      <c r="C238" s="5"/>
    </row>
    <row r="239">
      <c r="A239" s="5"/>
      <c r="B239" s="5"/>
      <c r="C239" s="5"/>
    </row>
    <row r="240">
      <c r="A240" s="5"/>
      <c r="B240" s="5"/>
      <c r="C240" s="5"/>
    </row>
    <row r="241">
      <c r="A241" s="5"/>
      <c r="B241" s="5"/>
      <c r="C241" s="5"/>
    </row>
    <row r="242">
      <c r="A242" s="5"/>
      <c r="B242" s="5"/>
      <c r="C242" s="5"/>
    </row>
    <row r="243">
      <c r="A243" s="5"/>
      <c r="B243" s="5"/>
      <c r="C243" s="5"/>
    </row>
    <row r="244">
      <c r="A244" s="5"/>
      <c r="B244" s="5"/>
      <c r="C244" s="5"/>
    </row>
    <row r="245">
      <c r="A245" s="5"/>
      <c r="B245" s="5"/>
      <c r="C245" s="5"/>
    </row>
    <row r="246">
      <c r="A246" s="5"/>
      <c r="B246" s="5"/>
      <c r="C246" s="5"/>
    </row>
    <row r="247">
      <c r="A247" s="5"/>
      <c r="B247" s="5"/>
      <c r="C247" s="5"/>
    </row>
    <row r="248">
      <c r="A248" s="5"/>
      <c r="B248" s="5"/>
      <c r="C248" s="5"/>
    </row>
    <row r="249">
      <c r="A249" s="5"/>
      <c r="B249" s="5"/>
      <c r="C249" s="5"/>
    </row>
    <row r="250">
      <c r="A250" s="5"/>
      <c r="B250" s="5"/>
      <c r="C250" s="5"/>
    </row>
    <row r="251">
      <c r="A251" s="5"/>
      <c r="B251" s="5"/>
      <c r="C251" s="5"/>
    </row>
    <row r="252">
      <c r="A252" s="5"/>
      <c r="B252" s="5"/>
      <c r="C252" s="5"/>
    </row>
    <row r="253">
      <c r="A253" s="5"/>
      <c r="B253" s="5"/>
      <c r="C253" s="5"/>
    </row>
    <row r="254">
      <c r="A254" s="5"/>
      <c r="B254" s="5"/>
      <c r="C254" s="5"/>
    </row>
    <row r="255">
      <c r="A255" s="5"/>
      <c r="B255" s="5"/>
      <c r="C255" s="5"/>
    </row>
    <row r="256">
      <c r="A256" s="5"/>
      <c r="B256" s="5"/>
      <c r="C256" s="5"/>
    </row>
    <row r="257">
      <c r="A257" s="5"/>
      <c r="B257" s="5"/>
      <c r="C257" s="5"/>
    </row>
    <row r="258">
      <c r="A258" s="5"/>
      <c r="B258" s="5"/>
      <c r="C258" s="5"/>
    </row>
    <row r="259">
      <c r="A259" s="5"/>
      <c r="B259" s="5"/>
      <c r="C259" s="5"/>
    </row>
    <row r="260">
      <c r="A260" s="5"/>
      <c r="B260" s="5"/>
      <c r="C260" s="5"/>
    </row>
    <row r="261">
      <c r="A261" s="5"/>
      <c r="B261" s="5"/>
      <c r="C261" s="5"/>
    </row>
    <row r="262">
      <c r="A262" s="5"/>
      <c r="B262" s="5"/>
      <c r="C262" s="5"/>
    </row>
    <row r="263">
      <c r="A263" s="5"/>
      <c r="B263" s="5"/>
      <c r="C263" s="5"/>
    </row>
    <row r="264">
      <c r="A264" s="5"/>
      <c r="B264" s="5"/>
      <c r="C264" s="5"/>
    </row>
    <row r="265">
      <c r="A265" s="5"/>
      <c r="B265" s="5"/>
      <c r="C265" s="5"/>
    </row>
    <row r="266">
      <c r="A266" s="5"/>
      <c r="B266" s="5"/>
      <c r="C266" s="5"/>
    </row>
    <row r="267">
      <c r="A267" s="5"/>
      <c r="B267" s="5"/>
      <c r="C267" s="5"/>
    </row>
    <row r="268">
      <c r="A268" s="5"/>
      <c r="B268" s="5"/>
      <c r="C268" s="5"/>
    </row>
    <row r="269">
      <c r="A269" s="5"/>
      <c r="B269" s="5"/>
      <c r="C269" s="5"/>
    </row>
    <row r="270">
      <c r="A270" s="5"/>
      <c r="B270" s="5"/>
      <c r="C270" s="5"/>
    </row>
    <row r="271">
      <c r="A271" s="5"/>
      <c r="B271" s="5"/>
      <c r="C271" s="5"/>
    </row>
    <row r="272">
      <c r="A272" s="5"/>
      <c r="B272" s="5"/>
      <c r="C272" s="5"/>
    </row>
    <row r="273">
      <c r="A273" s="5"/>
      <c r="B273" s="5"/>
      <c r="C273" s="5"/>
    </row>
    <row r="274">
      <c r="A274" s="5"/>
      <c r="B274" s="5"/>
      <c r="C274" s="5"/>
    </row>
    <row r="275">
      <c r="A275" s="5"/>
      <c r="B275" s="5"/>
      <c r="C275" s="5"/>
    </row>
    <row r="276">
      <c r="A276" s="5"/>
      <c r="B276" s="5"/>
      <c r="C276" s="5"/>
    </row>
    <row r="277">
      <c r="A277" s="5"/>
      <c r="B277" s="5"/>
      <c r="C277" s="5"/>
    </row>
    <row r="278">
      <c r="A278" s="5"/>
      <c r="B278" s="5"/>
      <c r="C278" s="5"/>
    </row>
    <row r="279">
      <c r="A279" s="5"/>
      <c r="B279" s="5"/>
      <c r="C279" s="5"/>
    </row>
    <row r="280">
      <c r="A280" s="5"/>
      <c r="B280" s="5"/>
      <c r="C280" s="5"/>
    </row>
    <row r="281">
      <c r="A281" s="5"/>
      <c r="B281" s="5"/>
      <c r="C281" s="5"/>
    </row>
    <row r="282">
      <c r="A282" s="5"/>
      <c r="B282" s="5"/>
      <c r="C282" s="5"/>
    </row>
    <row r="283">
      <c r="A283" s="5"/>
      <c r="B283" s="5"/>
      <c r="C283" s="5"/>
    </row>
    <row r="284">
      <c r="A284" s="5"/>
      <c r="B284" s="5"/>
      <c r="C284" s="5"/>
    </row>
    <row r="285">
      <c r="A285" s="5"/>
      <c r="B285" s="5"/>
      <c r="C285" s="5"/>
    </row>
    <row r="286">
      <c r="A286" s="5"/>
      <c r="B286" s="5"/>
      <c r="C286" s="5"/>
    </row>
    <row r="287">
      <c r="A287" s="5"/>
      <c r="B287" s="5"/>
      <c r="C287" s="5"/>
    </row>
    <row r="288">
      <c r="A288" s="5"/>
      <c r="B288" s="5"/>
      <c r="C288" s="5"/>
    </row>
    <row r="289">
      <c r="A289" s="5"/>
      <c r="B289" s="5"/>
      <c r="C289" s="5"/>
    </row>
    <row r="290">
      <c r="A290" s="5"/>
      <c r="B290" s="5"/>
      <c r="C290" s="5"/>
    </row>
    <row r="291">
      <c r="A291" s="5"/>
      <c r="B291" s="5"/>
      <c r="C291" s="5"/>
    </row>
    <row r="292">
      <c r="A292" s="5"/>
      <c r="B292" s="5"/>
      <c r="C292" s="5"/>
    </row>
    <row r="293">
      <c r="A293" s="5"/>
      <c r="B293" s="5"/>
      <c r="C293" s="5"/>
    </row>
    <row r="294">
      <c r="A294" s="5"/>
      <c r="B294" s="5"/>
      <c r="C294" s="5"/>
    </row>
    <row r="295">
      <c r="A295" s="5"/>
      <c r="B295" s="5"/>
      <c r="C295" s="5"/>
    </row>
    <row r="296">
      <c r="A296" s="5"/>
      <c r="B296" s="5"/>
      <c r="C296" s="5"/>
    </row>
    <row r="297">
      <c r="A297" s="5"/>
      <c r="B297" s="5"/>
      <c r="C297" s="5"/>
    </row>
    <row r="298">
      <c r="A298" s="5"/>
      <c r="B298" s="5"/>
      <c r="C298" s="5"/>
    </row>
    <row r="299">
      <c r="A299" s="5"/>
      <c r="B299" s="5"/>
      <c r="C299" s="5"/>
    </row>
    <row r="300">
      <c r="A300" s="5"/>
      <c r="B300" s="5"/>
      <c r="C300" s="5"/>
    </row>
    <row r="301">
      <c r="A301" s="5"/>
      <c r="B301" s="5"/>
      <c r="C301" s="5"/>
    </row>
    <row r="302">
      <c r="A302" s="5"/>
      <c r="B302" s="5"/>
      <c r="C302" s="5"/>
    </row>
    <row r="303">
      <c r="A303" s="5"/>
      <c r="B303" s="5"/>
      <c r="C303" s="5"/>
    </row>
    <row r="304">
      <c r="A304" s="5"/>
      <c r="B304" s="5"/>
      <c r="C304" s="5"/>
    </row>
    <row r="305">
      <c r="A305" s="5"/>
      <c r="B305" s="5"/>
      <c r="C305" s="5"/>
    </row>
    <row r="306">
      <c r="A306" s="5"/>
      <c r="B306" s="5"/>
      <c r="C306" s="5"/>
    </row>
    <row r="307">
      <c r="A307" s="5"/>
      <c r="B307" s="5"/>
      <c r="C307" s="5"/>
    </row>
    <row r="308">
      <c r="A308" s="5"/>
      <c r="B308" s="5"/>
      <c r="C308" s="5"/>
    </row>
    <row r="309">
      <c r="A309" s="5"/>
      <c r="B309" s="5"/>
      <c r="C309" s="5"/>
    </row>
    <row r="310">
      <c r="A310" s="5"/>
      <c r="B310" s="5"/>
      <c r="C310" s="5"/>
    </row>
    <row r="311">
      <c r="A311" s="5"/>
      <c r="B311" s="5"/>
      <c r="C311" s="5"/>
    </row>
    <row r="312">
      <c r="A312" s="5"/>
      <c r="B312" s="5"/>
      <c r="C312" s="5"/>
    </row>
    <row r="313">
      <c r="A313" s="5"/>
      <c r="B313" s="5"/>
      <c r="C313" s="5"/>
    </row>
    <row r="314">
      <c r="A314" s="5"/>
      <c r="B314" s="5"/>
      <c r="C314" s="5"/>
    </row>
    <row r="315">
      <c r="A315" s="5"/>
      <c r="B315" s="5"/>
      <c r="C315" s="5"/>
    </row>
    <row r="316">
      <c r="A316" s="5"/>
      <c r="B316" s="5"/>
      <c r="C316" s="5"/>
    </row>
    <row r="317">
      <c r="A317" s="5"/>
      <c r="B317" s="5"/>
      <c r="C317" s="5"/>
    </row>
    <row r="318">
      <c r="A318" s="5"/>
      <c r="B318" s="5"/>
      <c r="C318" s="5"/>
    </row>
    <row r="319">
      <c r="A319" s="5"/>
      <c r="B319" s="5"/>
      <c r="C319" s="5"/>
    </row>
    <row r="320">
      <c r="A320" s="5"/>
      <c r="B320" s="5"/>
      <c r="C320" s="5"/>
    </row>
    <row r="321">
      <c r="A321" s="5"/>
      <c r="B321" s="5"/>
      <c r="C321" s="5"/>
    </row>
    <row r="322">
      <c r="A322" s="5"/>
      <c r="B322" s="5"/>
      <c r="C322" s="5"/>
    </row>
    <row r="323">
      <c r="A323" s="5"/>
      <c r="B323" s="5"/>
      <c r="C323" s="5"/>
    </row>
    <row r="324">
      <c r="A324" s="5"/>
      <c r="B324" s="5"/>
      <c r="C324" s="5"/>
    </row>
    <row r="325">
      <c r="A325" s="5"/>
      <c r="B325" s="5"/>
      <c r="C325" s="5"/>
    </row>
    <row r="326">
      <c r="A326" s="5"/>
      <c r="B326" s="5"/>
      <c r="C326" s="5"/>
    </row>
    <row r="327">
      <c r="A327" s="5"/>
      <c r="B327" s="5"/>
      <c r="C327" s="5"/>
    </row>
    <row r="328">
      <c r="A328" s="5"/>
      <c r="B328" s="5"/>
      <c r="C328" s="5"/>
    </row>
    <row r="329">
      <c r="A329" s="5"/>
      <c r="B329" s="5"/>
      <c r="C329" s="5"/>
    </row>
    <row r="330">
      <c r="A330" s="5"/>
      <c r="B330" s="5"/>
      <c r="C330" s="5"/>
    </row>
    <row r="331">
      <c r="A331" s="5"/>
      <c r="B331" s="5"/>
      <c r="C331" s="5"/>
    </row>
    <row r="332">
      <c r="A332" s="5"/>
      <c r="B332" s="5"/>
      <c r="C332" s="5"/>
    </row>
    <row r="333">
      <c r="A333" s="5"/>
      <c r="B333" s="5"/>
      <c r="C333" s="5"/>
    </row>
    <row r="334">
      <c r="A334" s="5"/>
      <c r="B334" s="5"/>
      <c r="C334" s="5"/>
    </row>
    <row r="335">
      <c r="A335" s="5"/>
      <c r="B335" s="5"/>
      <c r="C335" s="5"/>
    </row>
    <row r="336">
      <c r="A336" s="5"/>
      <c r="B336" s="5"/>
      <c r="C336" s="5"/>
    </row>
    <row r="337">
      <c r="A337" s="5"/>
      <c r="B337" s="5"/>
      <c r="C337" s="5"/>
    </row>
    <row r="338">
      <c r="A338" s="5"/>
      <c r="B338" s="5"/>
      <c r="C338" s="5"/>
    </row>
    <row r="339">
      <c r="A339" s="5"/>
      <c r="B339" s="5"/>
      <c r="C339" s="5"/>
    </row>
    <row r="340">
      <c r="A340" s="5"/>
      <c r="B340" s="5"/>
      <c r="C340" s="5"/>
    </row>
    <row r="341">
      <c r="A341" s="5"/>
      <c r="B341" s="5"/>
      <c r="C341" s="5"/>
    </row>
    <row r="342">
      <c r="A342" s="5"/>
      <c r="B342" s="5"/>
      <c r="C342" s="5"/>
    </row>
    <row r="343">
      <c r="A343" s="5"/>
      <c r="B343" s="5"/>
      <c r="C343" s="5"/>
    </row>
    <row r="344">
      <c r="A344" s="5"/>
      <c r="B344" s="5"/>
      <c r="C344" s="5"/>
    </row>
    <row r="345">
      <c r="A345" s="5"/>
      <c r="B345" s="5"/>
      <c r="C345" s="5"/>
    </row>
    <row r="346">
      <c r="A346" s="5"/>
      <c r="B346" s="5"/>
      <c r="C346" s="5"/>
    </row>
    <row r="347">
      <c r="A347" s="5"/>
      <c r="B347" s="5"/>
      <c r="C347" s="5"/>
    </row>
    <row r="348">
      <c r="A348" s="5"/>
      <c r="B348" s="5"/>
      <c r="C348" s="5"/>
    </row>
    <row r="349">
      <c r="A349" s="5"/>
      <c r="B349" s="5"/>
      <c r="C349" s="5"/>
    </row>
    <row r="350">
      <c r="A350" s="5"/>
      <c r="B350" s="5"/>
      <c r="C350" s="5"/>
    </row>
    <row r="351">
      <c r="A351" s="5"/>
      <c r="B351" s="5"/>
      <c r="C351" s="5"/>
    </row>
    <row r="352">
      <c r="A352" s="5"/>
      <c r="B352" s="5"/>
      <c r="C352" s="5"/>
    </row>
    <row r="353">
      <c r="A353" s="5"/>
      <c r="B353" s="5"/>
      <c r="C353" s="5"/>
    </row>
    <row r="354">
      <c r="A354" s="5"/>
      <c r="B354" s="5"/>
      <c r="C354" s="5"/>
    </row>
    <row r="355">
      <c r="A355" s="5"/>
      <c r="B355" s="5"/>
      <c r="C355" s="5"/>
    </row>
    <row r="356">
      <c r="A356" s="5"/>
      <c r="B356" s="5"/>
      <c r="C356" s="5"/>
    </row>
    <row r="357">
      <c r="A357" s="5"/>
      <c r="B357" s="5"/>
      <c r="C357" s="5"/>
    </row>
    <row r="358">
      <c r="A358" s="5"/>
      <c r="B358" s="5"/>
      <c r="C358" s="5"/>
    </row>
    <row r="359">
      <c r="A359" s="5"/>
      <c r="B359" s="5"/>
      <c r="C359" s="5"/>
    </row>
    <row r="360">
      <c r="A360" s="5"/>
      <c r="B360" s="5"/>
      <c r="C360" s="5"/>
    </row>
    <row r="361">
      <c r="A361" s="5"/>
      <c r="B361" s="5"/>
      <c r="C361" s="5"/>
    </row>
    <row r="362">
      <c r="A362" s="5"/>
      <c r="B362" s="5"/>
      <c r="C362" s="5"/>
    </row>
    <row r="363">
      <c r="A363" s="5"/>
      <c r="B363" s="5"/>
      <c r="C363" s="5"/>
    </row>
    <row r="364">
      <c r="A364" s="5"/>
      <c r="B364" s="5"/>
      <c r="C364" s="5"/>
    </row>
    <row r="365">
      <c r="A365" s="5"/>
      <c r="B365" s="5"/>
      <c r="C365" s="5"/>
    </row>
    <row r="366">
      <c r="A366" s="5"/>
      <c r="B366" s="5"/>
      <c r="C366" s="5"/>
    </row>
    <row r="367">
      <c r="A367" s="5"/>
      <c r="B367" s="5"/>
      <c r="C367" s="5"/>
    </row>
    <row r="368">
      <c r="A368" s="5"/>
      <c r="B368" s="5"/>
      <c r="C368" s="5"/>
    </row>
    <row r="369">
      <c r="A369" s="5"/>
      <c r="B369" s="5"/>
      <c r="C369" s="5"/>
    </row>
    <row r="370">
      <c r="A370" s="5"/>
      <c r="B370" s="5"/>
      <c r="C370" s="5"/>
    </row>
    <row r="371">
      <c r="A371" s="5"/>
      <c r="B371" s="5"/>
      <c r="C371" s="5"/>
    </row>
    <row r="372">
      <c r="A372" s="5"/>
      <c r="B372" s="5"/>
      <c r="C372" s="5"/>
    </row>
    <row r="373">
      <c r="A373" s="5"/>
      <c r="B373" s="5"/>
      <c r="C373" s="5"/>
    </row>
    <row r="374">
      <c r="A374" s="5"/>
      <c r="B374" s="5"/>
      <c r="C374" s="5"/>
    </row>
    <row r="375">
      <c r="A375" s="5"/>
      <c r="B375" s="5"/>
      <c r="C375" s="5"/>
    </row>
    <row r="376">
      <c r="A376" s="5"/>
      <c r="B376" s="5"/>
      <c r="C376" s="5"/>
    </row>
    <row r="377">
      <c r="A377" s="5"/>
      <c r="B377" s="5"/>
      <c r="C377" s="5"/>
    </row>
    <row r="378">
      <c r="A378" s="5"/>
      <c r="B378" s="5"/>
      <c r="C378" s="5"/>
    </row>
    <row r="379">
      <c r="A379" s="5"/>
      <c r="B379" s="5"/>
      <c r="C379" s="5"/>
    </row>
    <row r="380">
      <c r="A380" s="5"/>
      <c r="B380" s="5"/>
      <c r="C380" s="5"/>
    </row>
    <row r="381">
      <c r="A381" s="5"/>
      <c r="B381" s="5"/>
      <c r="C381" s="5"/>
    </row>
    <row r="382">
      <c r="A382" s="5"/>
      <c r="B382" s="5"/>
      <c r="C382" s="5"/>
    </row>
    <row r="383">
      <c r="A383" s="5"/>
      <c r="B383" s="5"/>
      <c r="C383" s="5"/>
    </row>
    <row r="384">
      <c r="A384" s="5"/>
      <c r="B384" s="5"/>
      <c r="C384" s="5"/>
    </row>
    <row r="385">
      <c r="A385" s="5"/>
      <c r="B385" s="5"/>
      <c r="C385" s="5"/>
    </row>
    <row r="386">
      <c r="A386" s="5"/>
      <c r="B386" s="5"/>
      <c r="C386" s="5"/>
    </row>
    <row r="387">
      <c r="A387" s="5"/>
      <c r="B387" s="5"/>
      <c r="C387" s="5"/>
    </row>
    <row r="388">
      <c r="A388" s="5"/>
      <c r="B388" s="5"/>
      <c r="C388" s="5"/>
    </row>
    <row r="389">
      <c r="A389" s="5"/>
      <c r="B389" s="5"/>
      <c r="C389" s="5"/>
    </row>
    <row r="390">
      <c r="A390" s="5"/>
      <c r="B390" s="5"/>
      <c r="C390" s="5"/>
    </row>
    <row r="391">
      <c r="A391" s="5"/>
      <c r="B391" s="5"/>
      <c r="C391" s="5"/>
    </row>
    <row r="392">
      <c r="A392" s="5"/>
      <c r="B392" s="5"/>
      <c r="C392" s="5"/>
    </row>
    <row r="393">
      <c r="A393" s="5"/>
      <c r="B393" s="5"/>
      <c r="C393" s="5"/>
    </row>
    <row r="394">
      <c r="A394" s="5"/>
      <c r="B394" s="5"/>
      <c r="C394" s="5"/>
    </row>
    <row r="395">
      <c r="A395" s="5"/>
      <c r="B395" s="5"/>
      <c r="C395" s="5"/>
    </row>
    <row r="396">
      <c r="A396" s="5"/>
      <c r="B396" s="5"/>
      <c r="C396" s="5"/>
    </row>
    <row r="397">
      <c r="A397" s="5"/>
      <c r="B397" s="5"/>
      <c r="C397" s="5"/>
    </row>
    <row r="398">
      <c r="A398" s="5"/>
      <c r="B398" s="5"/>
      <c r="C398" s="5"/>
    </row>
    <row r="399">
      <c r="A399" s="5"/>
      <c r="B399" s="5"/>
      <c r="C399" s="5"/>
    </row>
    <row r="400">
      <c r="A400" s="5"/>
      <c r="B400" s="5"/>
      <c r="C400" s="5"/>
    </row>
    <row r="401">
      <c r="A401" s="5"/>
      <c r="B401" s="5"/>
      <c r="C401" s="5"/>
    </row>
    <row r="402">
      <c r="A402" s="5"/>
      <c r="B402" s="5"/>
      <c r="C402" s="5"/>
    </row>
    <row r="403">
      <c r="A403" s="5"/>
      <c r="B403" s="5"/>
      <c r="C403" s="5"/>
    </row>
    <row r="404">
      <c r="A404" s="5"/>
      <c r="B404" s="5"/>
      <c r="C404" s="5"/>
    </row>
    <row r="405">
      <c r="A405" s="5"/>
      <c r="B405" s="5"/>
      <c r="C405" s="5"/>
    </row>
    <row r="406">
      <c r="A406" s="5"/>
      <c r="B406" s="5"/>
      <c r="C406" s="5"/>
    </row>
    <row r="407">
      <c r="A407" s="5"/>
      <c r="B407" s="5"/>
      <c r="C407" s="5"/>
    </row>
    <row r="408">
      <c r="A408" s="5"/>
      <c r="B408" s="5"/>
      <c r="C408" s="5"/>
    </row>
    <row r="409">
      <c r="A409" s="5"/>
      <c r="B409" s="5"/>
      <c r="C409" s="5"/>
    </row>
    <row r="410">
      <c r="A410" s="5"/>
      <c r="B410" s="5"/>
      <c r="C410" s="5"/>
    </row>
    <row r="411">
      <c r="A411" s="5"/>
      <c r="B411" s="5"/>
      <c r="C411" s="5"/>
    </row>
    <row r="412">
      <c r="A412" s="5"/>
      <c r="B412" s="5"/>
      <c r="C412" s="5"/>
    </row>
    <row r="413">
      <c r="A413" s="5"/>
      <c r="B413" s="5"/>
      <c r="C413" s="5"/>
    </row>
    <row r="414">
      <c r="A414" s="5"/>
      <c r="B414" s="5"/>
      <c r="C414" s="5"/>
    </row>
    <row r="415">
      <c r="A415" s="5"/>
      <c r="B415" s="5"/>
      <c r="C415" s="5"/>
    </row>
    <row r="416">
      <c r="A416" s="5"/>
      <c r="B416" s="5"/>
      <c r="C416" s="5"/>
    </row>
    <row r="417">
      <c r="A417" s="5"/>
      <c r="B417" s="5"/>
      <c r="C417" s="5"/>
    </row>
    <row r="418">
      <c r="A418" s="5"/>
      <c r="B418" s="5"/>
      <c r="C418" s="5"/>
    </row>
    <row r="419">
      <c r="A419" s="5"/>
      <c r="B419" s="5"/>
      <c r="C419" s="5"/>
    </row>
    <row r="420">
      <c r="A420" s="5"/>
      <c r="B420" s="5"/>
      <c r="C420" s="5"/>
    </row>
    <row r="421">
      <c r="A421" s="5"/>
      <c r="B421" s="5"/>
      <c r="C421" s="5"/>
    </row>
    <row r="422">
      <c r="A422" s="5"/>
      <c r="B422" s="5"/>
      <c r="C422" s="5"/>
    </row>
    <row r="423">
      <c r="A423" s="5"/>
      <c r="B423" s="5"/>
      <c r="C423" s="5"/>
    </row>
    <row r="424">
      <c r="A424" s="5"/>
      <c r="B424" s="5"/>
      <c r="C424" s="5"/>
    </row>
    <row r="425">
      <c r="A425" s="5"/>
      <c r="B425" s="5"/>
      <c r="C425" s="5"/>
    </row>
    <row r="426">
      <c r="A426" s="5"/>
      <c r="B426" s="5"/>
      <c r="C426" s="5"/>
    </row>
    <row r="427">
      <c r="A427" s="5"/>
      <c r="B427" s="5"/>
      <c r="C427" s="5"/>
    </row>
    <row r="428">
      <c r="A428" s="5"/>
      <c r="B428" s="5"/>
      <c r="C428" s="5"/>
    </row>
    <row r="429">
      <c r="A429" s="5"/>
      <c r="B429" s="5"/>
      <c r="C429" s="5"/>
    </row>
    <row r="430">
      <c r="A430" s="5"/>
      <c r="B430" s="5"/>
      <c r="C430" s="5"/>
    </row>
    <row r="431">
      <c r="A431" s="5"/>
      <c r="B431" s="5"/>
      <c r="C431" s="5"/>
    </row>
    <row r="432">
      <c r="A432" s="5"/>
      <c r="B432" s="5"/>
      <c r="C432" s="5"/>
    </row>
    <row r="433">
      <c r="A433" s="5"/>
      <c r="B433" s="5"/>
      <c r="C433" s="5"/>
    </row>
    <row r="434">
      <c r="A434" s="5"/>
      <c r="B434" s="5"/>
      <c r="C434" s="5"/>
    </row>
    <row r="435">
      <c r="A435" s="5"/>
      <c r="B435" s="5"/>
      <c r="C435" s="5"/>
    </row>
    <row r="436">
      <c r="A436" s="5"/>
      <c r="B436" s="5"/>
      <c r="C436" s="5"/>
    </row>
    <row r="437">
      <c r="A437" s="5"/>
      <c r="B437" s="5"/>
      <c r="C437" s="5"/>
    </row>
    <row r="438">
      <c r="A438" s="5"/>
      <c r="B438" s="5"/>
      <c r="C438" s="5"/>
    </row>
    <row r="439">
      <c r="A439" s="5"/>
      <c r="B439" s="5"/>
      <c r="C439" s="5"/>
    </row>
    <row r="440">
      <c r="A440" s="5"/>
      <c r="B440" s="5"/>
      <c r="C440" s="5"/>
    </row>
    <row r="441">
      <c r="A441" s="5"/>
      <c r="B441" s="5"/>
      <c r="C441" s="5"/>
    </row>
    <row r="442">
      <c r="A442" s="5"/>
      <c r="B442" s="5"/>
      <c r="C442" s="5"/>
    </row>
    <row r="443">
      <c r="A443" s="5"/>
      <c r="B443" s="5"/>
      <c r="C443" s="5"/>
    </row>
    <row r="444">
      <c r="A444" s="5"/>
      <c r="B444" s="5"/>
      <c r="C444" s="5"/>
    </row>
    <row r="445">
      <c r="A445" s="5"/>
      <c r="B445" s="5"/>
      <c r="C445" s="5"/>
    </row>
    <row r="446">
      <c r="A446" s="5"/>
      <c r="B446" s="5"/>
      <c r="C446" s="5"/>
    </row>
    <row r="447">
      <c r="A447" s="5"/>
      <c r="B447" s="5"/>
      <c r="C447" s="5"/>
    </row>
    <row r="448">
      <c r="A448" s="5"/>
      <c r="B448" s="5"/>
      <c r="C448" s="5"/>
    </row>
    <row r="449">
      <c r="A449" s="5"/>
      <c r="B449" s="5"/>
      <c r="C449" s="5"/>
    </row>
    <row r="450">
      <c r="A450" s="5"/>
      <c r="B450" s="5"/>
      <c r="C450" s="5"/>
    </row>
    <row r="451">
      <c r="A451" s="5"/>
      <c r="B451" s="5"/>
      <c r="C451" s="5"/>
    </row>
    <row r="452">
      <c r="A452" s="5"/>
      <c r="B452" s="5"/>
      <c r="C452" s="5"/>
    </row>
    <row r="453">
      <c r="A453" s="5"/>
      <c r="B453" s="5"/>
      <c r="C453" s="5"/>
    </row>
    <row r="454">
      <c r="A454" s="5"/>
      <c r="B454" s="5"/>
      <c r="C454" s="5"/>
    </row>
    <row r="455">
      <c r="A455" s="5"/>
      <c r="B455" s="5"/>
      <c r="C455" s="5"/>
    </row>
    <row r="456">
      <c r="A456" s="5"/>
      <c r="B456" s="5"/>
      <c r="C456" s="5"/>
    </row>
    <row r="457">
      <c r="A457" s="5"/>
      <c r="B457" s="5"/>
      <c r="C457" s="5"/>
    </row>
    <row r="458">
      <c r="A458" s="5"/>
      <c r="B458" s="5"/>
      <c r="C458" s="5"/>
    </row>
    <row r="459">
      <c r="A459" s="5"/>
      <c r="B459" s="5"/>
      <c r="C459" s="5"/>
    </row>
    <row r="460">
      <c r="A460" s="5"/>
      <c r="B460" s="5"/>
      <c r="C460" s="5"/>
    </row>
    <row r="461">
      <c r="A461" s="5"/>
      <c r="B461" s="5"/>
      <c r="C461" s="5"/>
    </row>
    <row r="462">
      <c r="A462" s="5"/>
      <c r="B462" s="5"/>
      <c r="C462" s="5"/>
    </row>
    <row r="463">
      <c r="A463" s="5"/>
      <c r="B463" s="5"/>
      <c r="C463" s="5"/>
    </row>
    <row r="464">
      <c r="A464" s="5"/>
      <c r="B464" s="5"/>
      <c r="C464" s="5"/>
    </row>
    <row r="465">
      <c r="A465" s="5"/>
      <c r="B465" s="5"/>
      <c r="C465" s="5"/>
    </row>
    <row r="466">
      <c r="A466" s="5"/>
      <c r="B466" s="5"/>
      <c r="C466" s="5"/>
    </row>
    <row r="467">
      <c r="A467" s="5"/>
      <c r="B467" s="5"/>
      <c r="C467" s="5"/>
    </row>
    <row r="468">
      <c r="A468" s="5"/>
      <c r="B468" s="5"/>
      <c r="C468" s="5"/>
    </row>
    <row r="469">
      <c r="A469" s="5"/>
      <c r="B469" s="5"/>
      <c r="C469" s="5"/>
    </row>
    <row r="470">
      <c r="A470" s="5"/>
      <c r="B470" s="5"/>
      <c r="C470" s="5"/>
    </row>
    <row r="471">
      <c r="A471" s="5"/>
      <c r="B471" s="5"/>
      <c r="C471" s="5"/>
    </row>
    <row r="472">
      <c r="A472" s="5"/>
      <c r="B472" s="5"/>
      <c r="C472" s="5"/>
    </row>
    <row r="473">
      <c r="A473" s="5"/>
      <c r="B473" s="5"/>
      <c r="C473" s="5"/>
    </row>
    <row r="474">
      <c r="A474" s="5"/>
      <c r="B474" s="5"/>
      <c r="C474" s="5"/>
    </row>
    <row r="475">
      <c r="A475" s="5"/>
      <c r="B475" s="5"/>
      <c r="C475" s="5"/>
    </row>
    <row r="476">
      <c r="A476" s="5"/>
      <c r="B476" s="5"/>
      <c r="C476" s="5"/>
    </row>
    <row r="477">
      <c r="A477" s="5"/>
      <c r="B477" s="5"/>
      <c r="C477" s="5"/>
    </row>
    <row r="478">
      <c r="A478" s="5"/>
      <c r="B478" s="5"/>
      <c r="C478" s="5"/>
    </row>
    <row r="479">
      <c r="A479" s="5"/>
      <c r="B479" s="5"/>
      <c r="C479" s="5"/>
    </row>
    <row r="480">
      <c r="A480" s="5"/>
      <c r="B480" s="5"/>
      <c r="C480" s="5"/>
    </row>
    <row r="481">
      <c r="A481" s="5"/>
      <c r="B481" s="5"/>
      <c r="C481" s="5"/>
    </row>
    <row r="482">
      <c r="A482" s="5"/>
      <c r="B482" s="5"/>
      <c r="C482" s="5"/>
    </row>
    <row r="483">
      <c r="A483" s="5"/>
      <c r="B483" s="5"/>
      <c r="C483" s="5"/>
    </row>
    <row r="484">
      <c r="A484" s="5"/>
      <c r="B484" s="5"/>
      <c r="C484" s="5"/>
    </row>
    <row r="485">
      <c r="A485" s="5"/>
      <c r="B485" s="5"/>
      <c r="C485" s="5"/>
    </row>
    <row r="486">
      <c r="A486" s="5"/>
      <c r="B486" s="5"/>
      <c r="C486" s="5"/>
    </row>
    <row r="487">
      <c r="A487" s="5"/>
      <c r="B487" s="5"/>
      <c r="C487" s="5"/>
    </row>
    <row r="488">
      <c r="A488" s="5"/>
      <c r="B488" s="5"/>
      <c r="C488" s="5"/>
    </row>
    <row r="489">
      <c r="A489" s="5"/>
      <c r="B489" s="5"/>
      <c r="C489" s="5"/>
    </row>
    <row r="490">
      <c r="A490" s="5"/>
      <c r="B490" s="5"/>
      <c r="C490" s="5"/>
    </row>
    <row r="491">
      <c r="A491" s="5"/>
      <c r="B491" s="5"/>
      <c r="C491" s="5"/>
    </row>
    <row r="492">
      <c r="A492" s="5"/>
      <c r="B492" s="5"/>
      <c r="C492" s="5"/>
    </row>
    <row r="493">
      <c r="A493" s="5"/>
      <c r="B493" s="5"/>
      <c r="C493" s="5"/>
    </row>
    <row r="494">
      <c r="A494" s="5"/>
      <c r="B494" s="5"/>
      <c r="C494" s="5"/>
    </row>
    <row r="495">
      <c r="A495" s="5"/>
      <c r="B495" s="5"/>
      <c r="C495" s="5"/>
    </row>
    <row r="496">
      <c r="A496" s="5"/>
      <c r="B496" s="5"/>
      <c r="C496" s="5"/>
    </row>
    <row r="497">
      <c r="A497" s="5"/>
      <c r="B497" s="5"/>
      <c r="C497" s="5"/>
    </row>
    <row r="498">
      <c r="A498" s="5"/>
      <c r="B498" s="5"/>
      <c r="C498" s="5"/>
    </row>
    <row r="499">
      <c r="A499" s="5"/>
      <c r="B499" s="5"/>
      <c r="C499" s="5"/>
    </row>
    <row r="500">
      <c r="A500" s="5"/>
      <c r="B500" s="5"/>
      <c r="C500" s="5"/>
    </row>
    <row r="501">
      <c r="A501" s="5"/>
      <c r="B501" s="5"/>
      <c r="C501" s="5"/>
    </row>
    <row r="502">
      <c r="A502" s="5"/>
      <c r="B502" s="5"/>
      <c r="C502" s="5"/>
    </row>
    <row r="503">
      <c r="A503" s="5"/>
      <c r="B503" s="5"/>
      <c r="C503" s="5"/>
    </row>
    <row r="504">
      <c r="A504" s="5"/>
      <c r="B504" s="5"/>
      <c r="C504" s="5"/>
    </row>
    <row r="505">
      <c r="A505" s="5"/>
      <c r="B505" s="5"/>
      <c r="C505" s="5"/>
    </row>
    <row r="506">
      <c r="A506" s="5"/>
      <c r="B506" s="5"/>
      <c r="C506" s="5"/>
    </row>
    <row r="507">
      <c r="A507" s="5"/>
      <c r="B507" s="5"/>
      <c r="C507" s="5"/>
    </row>
    <row r="508">
      <c r="A508" s="5"/>
      <c r="B508" s="5"/>
      <c r="C508" s="5"/>
    </row>
    <row r="509">
      <c r="A509" s="5"/>
      <c r="B509" s="5"/>
      <c r="C509" s="5"/>
    </row>
    <row r="510">
      <c r="A510" s="5"/>
      <c r="B510" s="5"/>
      <c r="C510" s="5"/>
    </row>
    <row r="511">
      <c r="A511" s="5"/>
      <c r="B511" s="5"/>
      <c r="C511" s="5"/>
    </row>
    <row r="512">
      <c r="A512" s="5"/>
      <c r="B512" s="5"/>
      <c r="C512" s="5"/>
    </row>
    <row r="513">
      <c r="A513" s="5"/>
      <c r="B513" s="5"/>
      <c r="C513" s="5"/>
    </row>
    <row r="514">
      <c r="A514" s="5"/>
      <c r="B514" s="5"/>
      <c r="C514" s="5"/>
    </row>
    <row r="515">
      <c r="A515" s="5"/>
      <c r="B515" s="5"/>
      <c r="C515" s="5"/>
    </row>
    <row r="516">
      <c r="A516" s="5"/>
      <c r="B516" s="5"/>
      <c r="C516" s="5"/>
    </row>
    <row r="517">
      <c r="A517" s="5"/>
      <c r="B517" s="5"/>
      <c r="C517" s="5"/>
    </row>
    <row r="518">
      <c r="A518" s="5"/>
      <c r="B518" s="5"/>
      <c r="C518" s="5"/>
    </row>
    <row r="519">
      <c r="A519" s="5"/>
      <c r="B519" s="5"/>
      <c r="C519" s="5"/>
    </row>
    <row r="520">
      <c r="A520" s="5"/>
      <c r="B520" s="5"/>
      <c r="C520" s="5"/>
    </row>
    <row r="521">
      <c r="A521" s="5"/>
      <c r="B521" s="5"/>
      <c r="C521" s="5"/>
    </row>
    <row r="522">
      <c r="A522" s="5"/>
      <c r="B522" s="5"/>
      <c r="C522" s="5"/>
    </row>
    <row r="523">
      <c r="A523" s="5"/>
      <c r="B523" s="5"/>
      <c r="C523" s="5"/>
    </row>
    <row r="524">
      <c r="A524" s="5"/>
      <c r="B524" s="5"/>
      <c r="C524" s="5"/>
    </row>
    <row r="525">
      <c r="A525" s="5"/>
      <c r="B525" s="5"/>
      <c r="C525" s="5"/>
    </row>
    <row r="526">
      <c r="A526" s="5"/>
      <c r="B526" s="5"/>
      <c r="C526" s="5"/>
    </row>
    <row r="527">
      <c r="A527" s="5"/>
      <c r="B527" s="5"/>
      <c r="C527" s="5"/>
    </row>
    <row r="528">
      <c r="A528" s="5"/>
      <c r="B528" s="5"/>
      <c r="C528" s="5"/>
    </row>
    <row r="529">
      <c r="A529" s="5"/>
      <c r="B529" s="5"/>
      <c r="C529" s="5"/>
    </row>
    <row r="530">
      <c r="A530" s="5"/>
      <c r="B530" s="5"/>
      <c r="C530" s="5"/>
    </row>
    <row r="531">
      <c r="A531" s="5"/>
      <c r="B531" s="5"/>
      <c r="C531" s="5"/>
    </row>
    <row r="532">
      <c r="A532" s="5"/>
      <c r="B532" s="5"/>
      <c r="C532" s="5"/>
    </row>
    <row r="533">
      <c r="A533" s="5"/>
      <c r="B533" s="5"/>
      <c r="C533" s="5"/>
    </row>
    <row r="534">
      <c r="A534" s="5"/>
      <c r="B534" s="5"/>
      <c r="C534" s="5"/>
    </row>
    <row r="535">
      <c r="A535" s="5"/>
      <c r="B535" s="5"/>
      <c r="C535" s="5"/>
    </row>
    <row r="536">
      <c r="A536" s="5"/>
      <c r="B536" s="5"/>
      <c r="C536" s="5"/>
    </row>
    <row r="537">
      <c r="A537" s="5"/>
      <c r="B537" s="5"/>
      <c r="C537" s="5"/>
    </row>
    <row r="538">
      <c r="A538" s="5"/>
      <c r="B538" s="5"/>
      <c r="C538" s="5"/>
    </row>
    <row r="539">
      <c r="A539" s="5"/>
      <c r="B539" s="5"/>
      <c r="C539" s="5"/>
    </row>
    <row r="540">
      <c r="A540" s="5"/>
      <c r="B540" s="5"/>
      <c r="C540" s="5"/>
    </row>
    <row r="541">
      <c r="A541" s="5"/>
      <c r="B541" s="5"/>
      <c r="C541" s="5"/>
    </row>
    <row r="542">
      <c r="A542" s="5"/>
      <c r="B542" s="5"/>
      <c r="C542" s="5"/>
    </row>
    <row r="543">
      <c r="A543" s="5"/>
      <c r="B543" s="5"/>
      <c r="C543" s="5"/>
    </row>
    <row r="544">
      <c r="A544" s="5"/>
      <c r="B544" s="5"/>
      <c r="C544" s="5"/>
    </row>
    <row r="545">
      <c r="A545" s="5"/>
      <c r="B545" s="5"/>
      <c r="C545" s="5"/>
    </row>
    <row r="546">
      <c r="A546" s="5"/>
      <c r="B546" s="5"/>
      <c r="C546" s="5"/>
    </row>
    <row r="547">
      <c r="A547" s="5"/>
      <c r="B547" s="5"/>
      <c r="C547" s="5"/>
    </row>
    <row r="548">
      <c r="A548" s="5"/>
      <c r="B548" s="5"/>
      <c r="C548" s="5"/>
    </row>
    <row r="549">
      <c r="A549" s="5"/>
      <c r="B549" s="5"/>
      <c r="C549" s="5"/>
    </row>
    <row r="550">
      <c r="A550" s="5"/>
      <c r="B550" s="5"/>
      <c r="C550" s="5"/>
    </row>
    <row r="551">
      <c r="A551" s="5"/>
      <c r="B551" s="5"/>
      <c r="C551" s="5"/>
    </row>
    <row r="552">
      <c r="A552" s="5"/>
      <c r="B552" s="5"/>
      <c r="C552" s="5"/>
    </row>
    <row r="553">
      <c r="A553" s="5"/>
      <c r="B553" s="5"/>
      <c r="C553" s="5"/>
    </row>
    <row r="554">
      <c r="A554" s="5"/>
      <c r="B554" s="5"/>
      <c r="C554" s="5"/>
    </row>
    <row r="555">
      <c r="A555" s="5"/>
      <c r="B555" s="5"/>
      <c r="C555" s="5"/>
    </row>
    <row r="556">
      <c r="A556" s="5"/>
      <c r="B556" s="5"/>
      <c r="C556" s="5"/>
    </row>
    <row r="557">
      <c r="A557" s="5"/>
      <c r="B557" s="5"/>
      <c r="C557" s="5"/>
    </row>
    <row r="558">
      <c r="A558" s="5"/>
      <c r="B558" s="5"/>
      <c r="C558" s="5"/>
    </row>
    <row r="559">
      <c r="A559" s="5"/>
      <c r="B559" s="5"/>
      <c r="C559" s="5"/>
    </row>
    <row r="560">
      <c r="A560" s="5"/>
      <c r="B560" s="5"/>
      <c r="C560" s="5"/>
    </row>
    <row r="561">
      <c r="A561" s="5"/>
      <c r="B561" s="5"/>
      <c r="C561" s="5"/>
    </row>
    <row r="562">
      <c r="A562" s="5"/>
      <c r="B562" s="5"/>
      <c r="C562" s="5"/>
    </row>
    <row r="563">
      <c r="A563" s="5"/>
      <c r="B563" s="5"/>
      <c r="C563" s="5"/>
    </row>
    <row r="564">
      <c r="A564" s="5"/>
      <c r="B564" s="5"/>
      <c r="C564" s="5"/>
    </row>
    <row r="565">
      <c r="A565" s="5"/>
      <c r="B565" s="5"/>
      <c r="C565" s="5"/>
    </row>
    <row r="566">
      <c r="A566" s="5"/>
      <c r="B566" s="5"/>
      <c r="C566" s="5"/>
    </row>
    <row r="567">
      <c r="A567" s="5"/>
      <c r="B567" s="5"/>
      <c r="C567" s="5"/>
    </row>
    <row r="568">
      <c r="A568" s="5"/>
      <c r="B568" s="5"/>
      <c r="C568" s="5"/>
    </row>
    <row r="569">
      <c r="A569" s="5"/>
      <c r="B569" s="5"/>
      <c r="C569" s="5"/>
    </row>
    <row r="570">
      <c r="A570" s="5"/>
      <c r="B570" s="5"/>
      <c r="C570" s="5"/>
    </row>
    <row r="571">
      <c r="A571" s="5"/>
      <c r="B571" s="5"/>
      <c r="C571" s="5"/>
    </row>
    <row r="572">
      <c r="A572" s="5"/>
      <c r="B572" s="5"/>
      <c r="C572" s="5"/>
    </row>
    <row r="573">
      <c r="A573" s="5"/>
      <c r="B573" s="5"/>
      <c r="C573" s="5"/>
    </row>
    <row r="574">
      <c r="A574" s="5"/>
      <c r="B574" s="5"/>
      <c r="C574" s="5"/>
    </row>
    <row r="575">
      <c r="A575" s="5"/>
      <c r="B575" s="5"/>
      <c r="C575" s="5"/>
    </row>
    <row r="576">
      <c r="A576" s="5"/>
      <c r="B576" s="5"/>
      <c r="C576" s="5"/>
    </row>
    <row r="577">
      <c r="A577" s="5"/>
      <c r="B577" s="5"/>
      <c r="C577" s="5"/>
    </row>
    <row r="578">
      <c r="A578" s="5"/>
      <c r="B578" s="5"/>
      <c r="C578" s="5"/>
    </row>
    <row r="579">
      <c r="A579" s="5"/>
      <c r="B579" s="5"/>
      <c r="C579" s="5"/>
    </row>
    <row r="580">
      <c r="A580" s="5"/>
      <c r="B580" s="5"/>
      <c r="C580" s="5"/>
    </row>
    <row r="581">
      <c r="A581" s="5"/>
      <c r="B581" s="5"/>
      <c r="C581" s="5"/>
    </row>
    <row r="582">
      <c r="A582" s="5"/>
      <c r="B582" s="5"/>
      <c r="C582" s="5"/>
    </row>
    <row r="583">
      <c r="A583" s="5"/>
      <c r="B583" s="5"/>
      <c r="C583" s="5"/>
    </row>
    <row r="584">
      <c r="A584" s="5"/>
      <c r="B584" s="5"/>
      <c r="C584" s="5"/>
    </row>
    <row r="585">
      <c r="A585" s="5"/>
      <c r="B585" s="5"/>
      <c r="C585" s="5"/>
    </row>
    <row r="586">
      <c r="A586" s="5"/>
      <c r="B586" s="5"/>
      <c r="C586" s="5"/>
    </row>
    <row r="587">
      <c r="A587" s="5"/>
      <c r="B587" s="5"/>
      <c r="C587" s="5"/>
    </row>
    <row r="588">
      <c r="A588" s="5"/>
      <c r="B588" s="5"/>
      <c r="C588" s="5"/>
    </row>
    <row r="589">
      <c r="A589" s="5"/>
      <c r="B589" s="5"/>
      <c r="C589" s="5"/>
    </row>
    <row r="590">
      <c r="A590" s="5"/>
      <c r="B590" s="5"/>
      <c r="C590" s="5"/>
    </row>
    <row r="591">
      <c r="A591" s="5"/>
      <c r="B591" s="5"/>
      <c r="C591" s="5"/>
    </row>
    <row r="592">
      <c r="A592" s="5"/>
      <c r="B592" s="5"/>
      <c r="C592" s="5"/>
    </row>
    <row r="593">
      <c r="A593" s="5"/>
      <c r="B593" s="5"/>
      <c r="C593" s="5"/>
    </row>
    <row r="594">
      <c r="A594" s="5"/>
      <c r="B594" s="5"/>
      <c r="C594" s="5"/>
    </row>
    <row r="595">
      <c r="A595" s="5"/>
      <c r="B595" s="5"/>
      <c r="C595" s="5"/>
    </row>
    <row r="596">
      <c r="A596" s="5"/>
      <c r="B596" s="5"/>
      <c r="C596" s="5"/>
    </row>
    <row r="597">
      <c r="A597" s="5"/>
      <c r="B597" s="5"/>
      <c r="C597" s="5"/>
    </row>
    <row r="598">
      <c r="A598" s="5"/>
      <c r="B598" s="5"/>
      <c r="C598" s="5"/>
    </row>
    <row r="599">
      <c r="A599" s="5"/>
      <c r="B599" s="5"/>
      <c r="C599" s="5"/>
    </row>
    <row r="600">
      <c r="A600" s="5"/>
      <c r="B600" s="5"/>
      <c r="C600" s="5"/>
    </row>
    <row r="601">
      <c r="A601" s="5"/>
      <c r="B601" s="5"/>
      <c r="C601" s="5"/>
    </row>
    <row r="602">
      <c r="A602" s="5"/>
      <c r="B602" s="5"/>
      <c r="C602" s="5"/>
    </row>
    <row r="603">
      <c r="A603" s="5"/>
      <c r="B603" s="5"/>
      <c r="C603" s="5"/>
    </row>
    <row r="604">
      <c r="A604" s="5"/>
      <c r="B604" s="5"/>
      <c r="C604" s="5"/>
    </row>
    <row r="605">
      <c r="A605" s="5"/>
      <c r="B605" s="5"/>
      <c r="C605" s="5"/>
    </row>
    <row r="606">
      <c r="A606" s="5"/>
      <c r="B606" s="5"/>
      <c r="C606" s="5"/>
    </row>
    <row r="607">
      <c r="A607" s="5"/>
      <c r="B607" s="5"/>
      <c r="C607" s="5"/>
    </row>
    <row r="608">
      <c r="A608" s="5"/>
      <c r="B608" s="5"/>
      <c r="C608" s="5"/>
    </row>
    <row r="609">
      <c r="A609" s="5"/>
      <c r="B609" s="5"/>
      <c r="C609" s="5"/>
    </row>
    <row r="610">
      <c r="A610" s="5"/>
      <c r="B610" s="5"/>
      <c r="C610" s="5"/>
    </row>
    <row r="611">
      <c r="A611" s="5"/>
      <c r="B611" s="5"/>
      <c r="C611" s="5"/>
    </row>
    <row r="612">
      <c r="A612" s="5"/>
      <c r="B612" s="5"/>
      <c r="C612" s="5"/>
    </row>
    <row r="613">
      <c r="A613" s="5"/>
      <c r="B613" s="5"/>
      <c r="C613" s="5"/>
    </row>
    <row r="614">
      <c r="A614" s="5"/>
      <c r="B614" s="5"/>
      <c r="C614" s="5"/>
    </row>
    <row r="615">
      <c r="A615" s="5"/>
      <c r="B615" s="5"/>
      <c r="C615" s="5"/>
    </row>
    <row r="616">
      <c r="A616" s="5"/>
      <c r="B616" s="5"/>
      <c r="C616" s="5"/>
    </row>
    <row r="617">
      <c r="A617" s="5"/>
      <c r="B617" s="5"/>
      <c r="C617" s="5"/>
    </row>
    <row r="618">
      <c r="A618" s="5"/>
      <c r="B618" s="5"/>
      <c r="C618" s="5"/>
    </row>
    <row r="619">
      <c r="A619" s="5"/>
      <c r="B619" s="5"/>
      <c r="C619" s="5"/>
    </row>
    <row r="620">
      <c r="A620" s="5"/>
      <c r="B620" s="5"/>
      <c r="C620" s="5"/>
    </row>
    <row r="621">
      <c r="A621" s="5"/>
      <c r="B621" s="5"/>
      <c r="C621" s="5"/>
    </row>
    <row r="622">
      <c r="A622" s="5"/>
      <c r="B622" s="5"/>
      <c r="C622" s="5"/>
    </row>
    <row r="623">
      <c r="A623" s="5"/>
      <c r="B623" s="5"/>
      <c r="C623" s="5"/>
    </row>
    <row r="624">
      <c r="A624" s="5"/>
      <c r="B624" s="5"/>
      <c r="C624" s="5"/>
    </row>
    <row r="625">
      <c r="A625" s="5"/>
      <c r="B625" s="5"/>
      <c r="C625" s="5"/>
    </row>
    <row r="626">
      <c r="A626" s="5"/>
      <c r="B626" s="5"/>
      <c r="C626" s="5"/>
    </row>
    <row r="627">
      <c r="A627" s="5"/>
      <c r="B627" s="5"/>
      <c r="C627" s="5"/>
    </row>
    <row r="628">
      <c r="A628" s="5"/>
      <c r="B628" s="5"/>
      <c r="C628" s="5"/>
    </row>
    <row r="629">
      <c r="A629" s="5"/>
      <c r="B629" s="5"/>
      <c r="C629" s="5"/>
    </row>
    <row r="630">
      <c r="A630" s="5"/>
      <c r="B630" s="5"/>
      <c r="C630" s="5"/>
    </row>
    <row r="631">
      <c r="A631" s="5"/>
      <c r="B631" s="5"/>
      <c r="C631" s="5"/>
    </row>
    <row r="632">
      <c r="A632" s="5"/>
      <c r="B632" s="5"/>
      <c r="C632" s="5"/>
    </row>
    <row r="633">
      <c r="A633" s="5"/>
      <c r="B633" s="5"/>
      <c r="C633" s="5"/>
    </row>
    <row r="634">
      <c r="A634" s="5"/>
      <c r="B634" s="5"/>
      <c r="C634" s="5"/>
    </row>
    <row r="635">
      <c r="A635" s="5"/>
      <c r="B635" s="5"/>
      <c r="C635" s="5"/>
    </row>
    <row r="636">
      <c r="A636" s="5"/>
      <c r="B636" s="5"/>
      <c r="C636" s="5"/>
    </row>
    <row r="637">
      <c r="A637" s="5"/>
      <c r="B637" s="5"/>
      <c r="C637" s="5"/>
    </row>
    <row r="638">
      <c r="A638" s="5"/>
      <c r="B638" s="5"/>
      <c r="C638" s="5"/>
    </row>
    <row r="639">
      <c r="A639" s="5"/>
      <c r="B639" s="5"/>
      <c r="C639" s="5"/>
    </row>
    <row r="640">
      <c r="A640" s="5"/>
      <c r="B640" s="5"/>
      <c r="C640" s="5"/>
    </row>
    <row r="641">
      <c r="A641" s="5"/>
      <c r="B641" s="5"/>
      <c r="C641" s="5"/>
    </row>
    <row r="642">
      <c r="A642" s="5"/>
      <c r="B642" s="5"/>
      <c r="C642" s="5"/>
    </row>
    <row r="643">
      <c r="A643" s="5"/>
      <c r="B643" s="5"/>
      <c r="C643" s="5"/>
    </row>
    <row r="644">
      <c r="A644" s="5"/>
      <c r="B644" s="5"/>
      <c r="C644" s="5"/>
    </row>
    <row r="645">
      <c r="A645" s="5"/>
      <c r="B645" s="5"/>
      <c r="C645" s="5"/>
    </row>
    <row r="646">
      <c r="A646" s="5"/>
      <c r="B646" s="5"/>
      <c r="C646" s="5"/>
    </row>
    <row r="647">
      <c r="A647" s="5"/>
      <c r="B647" s="5"/>
      <c r="C647" s="5"/>
    </row>
    <row r="648">
      <c r="A648" s="5"/>
      <c r="B648" s="5"/>
      <c r="C648" s="5"/>
    </row>
    <row r="649">
      <c r="A649" s="5"/>
      <c r="B649" s="5"/>
      <c r="C649" s="5"/>
    </row>
    <row r="650">
      <c r="A650" s="5"/>
      <c r="B650" s="5"/>
      <c r="C650" s="5"/>
    </row>
    <row r="651">
      <c r="A651" s="5"/>
      <c r="B651" s="5"/>
      <c r="C651" s="5"/>
    </row>
    <row r="652">
      <c r="A652" s="5"/>
      <c r="B652" s="5"/>
      <c r="C652" s="5"/>
    </row>
    <row r="653">
      <c r="A653" s="5"/>
      <c r="B653" s="5"/>
      <c r="C653" s="5"/>
    </row>
    <row r="654">
      <c r="A654" s="5"/>
      <c r="B654" s="5"/>
      <c r="C654" s="5"/>
    </row>
    <row r="655">
      <c r="A655" s="5"/>
      <c r="B655" s="5"/>
      <c r="C655" s="5"/>
    </row>
    <row r="656">
      <c r="A656" s="5"/>
      <c r="B656" s="5"/>
      <c r="C656" s="5"/>
    </row>
    <row r="657">
      <c r="A657" s="5"/>
      <c r="B657" s="5"/>
      <c r="C657" s="5"/>
    </row>
    <row r="658">
      <c r="A658" s="5"/>
      <c r="B658" s="5"/>
      <c r="C658" s="5"/>
    </row>
    <row r="659">
      <c r="A659" s="5"/>
      <c r="B659" s="5"/>
      <c r="C659" s="5"/>
    </row>
    <row r="660">
      <c r="A660" s="5"/>
      <c r="B660" s="5"/>
      <c r="C660" s="5"/>
    </row>
    <row r="661">
      <c r="A661" s="5"/>
      <c r="B661" s="5"/>
      <c r="C661" s="5"/>
    </row>
    <row r="662">
      <c r="A662" s="5"/>
      <c r="B662" s="5"/>
      <c r="C662" s="5"/>
    </row>
    <row r="663">
      <c r="A663" s="5"/>
      <c r="B663" s="5"/>
      <c r="C663" s="5"/>
    </row>
    <row r="664">
      <c r="A664" s="5"/>
      <c r="B664" s="5"/>
      <c r="C664" s="5"/>
    </row>
    <row r="665">
      <c r="A665" s="5"/>
      <c r="B665" s="5"/>
      <c r="C665" s="5"/>
    </row>
    <row r="666">
      <c r="A666" s="5"/>
      <c r="B666" s="5"/>
      <c r="C666" s="5"/>
    </row>
    <row r="667">
      <c r="A667" s="5"/>
      <c r="B667" s="5"/>
      <c r="C667" s="5"/>
    </row>
    <row r="668">
      <c r="A668" s="5"/>
      <c r="B668" s="5"/>
      <c r="C668" s="5"/>
    </row>
    <row r="669">
      <c r="A669" s="5"/>
      <c r="B669" s="5"/>
      <c r="C669" s="5"/>
    </row>
    <row r="670">
      <c r="A670" s="5"/>
      <c r="B670" s="5"/>
      <c r="C670" s="5"/>
    </row>
    <row r="671">
      <c r="A671" s="5"/>
      <c r="B671" s="5"/>
      <c r="C671" s="5"/>
    </row>
    <row r="672">
      <c r="A672" s="5"/>
      <c r="B672" s="5"/>
      <c r="C672" s="5"/>
    </row>
    <row r="673">
      <c r="A673" s="5"/>
      <c r="B673" s="5"/>
      <c r="C673" s="5"/>
    </row>
    <row r="674">
      <c r="A674" s="5"/>
      <c r="B674" s="5"/>
      <c r="C674" s="5"/>
    </row>
    <row r="675">
      <c r="A675" s="5"/>
      <c r="B675" s="5"/>
      <c r="C675" s="5"/>
    </row>
    <row r="676">
      <c r="A676" s="5"/>
      <c r="B676" s="5"/>
      <c r="C676" s="5"/>
    </row>
    <row r="677">
      <c r="A677" s="5"/>
      <c r="B677" s="5"/>
      <c r="C677" s="5"/>
    </row>
    <row r="678">
      <c r="A678" s="5"/>
      <c r="B678" s="5"/>
      <c r="C678" s="5"/>
    </row>
    <row r="679">
      <c r="A679" s="5"/>
      <c r="B679" s="5"/>
      <c r="C679" s="5"/>
    </row>
    <row r="680">
      <c r="A680" s="5"/>
      <c r="B680" s="5"/>
      <c r="C680" s="5"/>
    </row>
    <row r="681">
      <c r="A681" s="5"/>
      <c r="B681" s="5"/>
      <c r="C681" s="5"/>
    </row>
    <row r="682">
      <c r="A682" s="5"/>
      <c r="B682" s="5"/>
      <c r="C682" s="5"/>
    </row>
    <row r="683">
      <c r="A683" s="5"/>
      <c r="B683" s="5"/>
      <c r="C683" s="5"/>
    </row>
    <row r="684">
      <c r="A684" s="5"/>
      <c r="B684" s="5"/>
      <c r="C684" s="5"/>
    </row>
    <row r="685">
      <c r="A685" s="5"/>
      <c r="B685" s="5"/>
      <c r="C685" s="5"/>
    </row>
    <row r="686">
      <c r="A686" s="5"/>
      <c r="B686" s="5"/>
      <c r="C686" s="5"/>
    </row>
    <row r="687">
      <c r="A687" s="5"/>
      <c r="B687" s="5"/>
      <c r="C687" s="5"/>
    </row>
    <row r="688">
      <c r="A688" s="5"/>
      <c r="B688" s="5"/>
      <c r="C688" s="5"/>
    </row>
    <row r="689">
      <c r="A689" s="5"/>
      <c r="B689" s="5"/>
      <c r="C689" s="5"/>
    </row>
    <row r="690">
      <c r="A690" s="5"/>
      <c r="B690" s="5"/>
      <c r="C690" s="5"/>
    </row>
    <row r="691">
      <c r="A691" s="5"/>
      <c r="B691" s="5"/>
      <c r="C691" s="5"/>
    </row>
    <row r="692">
      <c r="A692" s="5"/>
      <c r="B692" s="5"/>
      <c r="C692" s="5"/>
    </row>
    <row r="693">
      <c r="A693" s="5"/>
      <c r="B693" s="5"/>
      <c r="C693" s="5"/>
    </row>
    <row r="694">
      <c r="A694" s="5"/>
      <c r="B694" s="5"/>
      <c r="C694" s="5"/>
    </row>
    <row r="695">
      <c r="A695" s="5"/>
      <c r="B695" s="5"/>
      <c r="C695" s="5"/>
    </row>
    <row r="696">
      <c r="A696" s="5"/>
      <c r="B696" s="5"/>
      <c r="C696" s="5"/>
    </row>
    <row r="697">
      <c r="A697" s="5"/>
      <c r="B697" s="5"/>
      <c r="C697" s="5"/>
    </row>
    <row r="698">
      <c r="A698" s="5"/>
      <c r="B698" s="5"/>
      <c r="C698" s="5"/>
    </row>
    <row r="699">
      <c r="A699" s="5"/>
      <c r="B699" s="5"/>
      <c r="C699" s="5"/>
    </row>
    <row r="700">
      <c r="A700" s="5"/>
      <c r="B700" s="5"/>
      <c r="C700" s="5"/>
    </row>
    <row r="701">
      <c r="A701" s="5"/>
      <c r="B701" s="5"/>
      <c r="C701" s="5"/>
    </row>
    <row r="702">
      <c r="A702" s="5"/>
      <c r="B702" s="5"/>
      <c r="C702" s="5"/>
    </row>
    <row r="703">
      <c r="A703" s="5"/>
      <c r="B703" s="5"/>
      <c r="C703" s="5"/>
    </row>
    <row r="704">
      <c r="A704" s="5"/>
      <c r="B704" s="5"/>
      <c r="C704" s="5"/>
    </row>
    <row r="705">
      <c r="A705" s="5"/>
      <c r="B705" s="5"/>
      <c r="C705" s="5"/>
    </row>
    <row r="706">
      <c r="A706" s="5"/>
      <c r="B706" s="5"/>
      <c r="C706" s="5"/>
    </row>
    <row r="707">
      <c r="A707" s="5"/>
      <c r="B707" s="5"/>
      <c r="C707" s="5"/>
    </row>
    <row r="708">
      <c r="A708" s="5"/>
      <c r="B708" s="5"/>
      <c r="C708" s="5"/>
    </row>
    <row r="709">
      <c r="A709" s="5"/>
      <c r="B709" s="5"/>
      <c r="C709" s="5"/>
    </row>
    <row r="710">
      <c r="A710" s="5"/>
      <c r="B710" s="5"/>
      <c r="C710" s="5"/>
    </row>
    <row r="711">
      <c r="A711" s="5"/>
      <c r="B711" s="5"/>
      <c r="C711" s="5"/>
    </row>
    <row r="712">
      <c r="A712" s="5"/>
      <c r="B712" s="5"/>
      <c r="C712" s="5"/>
    </row>
    <row r="713">
      <c r="A713" s="5"/>
      <c r="B713" s="5"/>
      <c r="C713" s="5"/>
    </row>
    <row r="714">
      <c r="A714" s="5"/>
      <c r="B714" s="5"/>
      <c r="C714" s="5"/>
    </row>
    <row r="715">
      <c r="A715" s="5"/>
      <c r="B715" s="5"/>
      <c r="C715" s="5"/>
    </row>
    <row r="716">
      <c r="A716" s="5"/>
      <c r="B716" s="5"/>
      <c r="C716" s="5"/>
    </row>
    <row r="717">
      <c r="A717" s="5"/>
      <c r="B717" s="5"/>
      <c r="C717" s="5"/>
    </row>
    <row r="718">
      <c r="A718" s="5"/>
      <c r="B718" s="5"/>
      <c r="C718" s="5"/>
    </row>
    <row r="719">
      <c r="A719" s="5"/>
      <c r="B719" s="5"/>
      <c r="C719" s="5"/>
    </row>
    <row r="720">
      <c r="A720" s="5"/>
      <c r="B720" s="5"/>
      <c r="C720" s="5"/>
    </row>
    <row r="721">
      <c r="A721" s="5"/>
      <c r="B721" s="5"/>
      <c r="C721" s="5"/>
    </row>
    <row r="722">
      <c r="A722" s="5"/>
      <c r="B722" s="5"/>
      <c r="C722" s="5"/>
    </row>
    <row r="723">
      <c r="A723" s="5"/>
      <c r="B723" s="5"/>
      <c r="C723" s="5"/>
    </row>
    <row r="724">
      <c r="A724" s="5"/>
      <c r="B724" s="5"/>
      <c r="C724" s="5"/>
    </row>
    <row r="725">
      <c r="A725" s="5"/>
      <c r="B725" s="5"/>
      <c r="C725" s="5"/>
    </row>
    <row r="726">
      <c r="A726" s="5"/>
      <c r="B726" s="5"/>
      <c r="C726" s="5"/>
    </row>
    <row r="727">
      <c r="A727" s="5"/>
      <c r="B727" s="5"/>
      <c r="C727" s="5"/>
    </row>
    <row r="728">
      <c r="A728" s="5"/>
      <c r="B728" s="5"/>
      <c r="C728" s="5"/>
    </row>
    <row r="729">
      <c r="A729" s="5"/>
      <c r="B729" s="5"/>
      <c r="C729" s="5"/>
    </row>
    <row r="730">
      <c r="A730" s="5"/>
      <c r="B730" s="5"/>
      <c r="C730" s="5"/>
    </row>
    <row r="731">
      <c r="A731" s="5"/>
      <c r="B731" s="5"/>
      <c r="C731" s="5"/>
    </row>
    <row r="732">
      <c r="A732" s="5"/>
      <c r="B732" s="5"/>
      <c r="C732" s="5"/>
    </row>
    <row r="733">
      <c r="A733" s="5"/>
      <c r="B733" s="5"/>
      <c r="C733" s="5"/>
    </row>
    <row r="734">
      <c r="A734" s="5"/>
      <c r="B734" s="5"/>
      <c r="C734" s="5"/>
    </row>
    <row r="735">
      <c r="A735" s="5"/>
      <c r="B735" s="5"/>
      <c r="C735" s="5"/>
    </row>
    <row r="736">
      <c r="A736" s="5"/>
      <c r="B736" s="5"/>
      <c r="C736" s="5"/>
    </row>
    <row r="737">
      <c r="A737" s="5"/>
      <c r="B737" s="5"/>
      <c r="C737" s="5"/>
    </row>
    <row r="738">
      <c r="A738" s="5"/>
      <c r="B738" s="5"/>
      <c r="C738" s="5"/>
    </row>
    <row r="739">
      <c r="A739" s="5"/>
      <c r="B739" s="5"/>
      <c r="C739" s="5"/>
    </row>
    <row r="740">
      <c r="A740" s="5"/>
      <c r="B740" s="5"/>
      <c r="C740" s="5"/>
    </row>
    <row r="741">
      <c r="A741" s="5"/>
      <c r="B741" s="5"/>
      <c r="C741" s="5"/>
    </row>
    <row r="742">
      <c r="A742" s="5"/>
      <c r="B742" s="5"/>
      <c r="C742" s="5"/>
    </row>
    <row r="743">
      <c r="A743" s="5"/>
      <c r="B743" s="5"/>
      <c r="C743" s="5"/>
    </row>
    <row r="744">
      <c r="A744" s="5"/>
      <c r="B744" s="5"/>
      <c r="C744" s="5"/>
    </row>
    <row r="745">
      <c r="A745" s="5"/>
      <c r="B745" s="5"/>
      <c r="C745" s="5"/>
    </row>
    <row r="746">
      <c r="A746" s="5"/>
      <c r="B746" s="5"/>
      <c r="C746" s="5"/>
    </row>
    <row r="747">
      <c r="A747" s="5"/>
      <c r="B747" s="5"/>
      <c r="C747" s="5"/>
    </row>
    <row r="748">
      <c r="A748" s="5"/>
      <c r="B748" s="5"/>
      <c r="C748" s="5"/>
    </row>
    <row r="749">
      <c r="A749" s="5"/>
      <c r="B749" s="5"/>
      <c r="C749" s="5"/>
    </row>
    <row r="750">
      <c r="A750" s="5"/>
      <c r="B750" s="5"/>
      <c r="C750" s="5"/>
    </row>
    <row r="751">
      <c r="A751" s="5"/>
      <c r="B751" s="5"/>
      <c r="C751" s="5"/>
    </row>
    <row r="752">
      <c r="A752" s="5"/>
      <c r="B752" s="5"/>
      <c r="C752" s="5"/>
    </row>
    <row r="753">
      <c r="A753" s="5"/>
      <c r="B753" s="5"/>
      <c r="C753" s="5"/>
    </row>
    <row r="754">
      <c r="A754" s="5"/>
      <c r="B754" s="5"/>
      <c r="C754" s="5"/>
    </row>
    <row r="755">
      <c r="A755" s="5"/>
      <c r="B755" s="5"/>
      <c r="C755" s="5"/>
    </row>
    <row r="756">
      <c r="A756" s="5"/>
      <c r="B756" s="5"/>
      <c r="C756" s="5"/>
    </row>
    <row r="757">
      <c r="A757" s="5"/>
      <c r="B757" s="5"/>
      <c r="C757" s="5"/>
    </row>
    <row r="758">
      <c r="A758" s="5"/>
      <c r="B758" s="5"/>
      <c r="C758" s="5"/>
    </row>
    <row r="759">
      <c r="A759" s="5"/>
      <c r="B759" s="5"/>
      <c r="C759" s="5"/>
    </row>
    <row r="760">
      <c r="A760" s="5"/>
      <c r="B760" s="5"/>
      <c r="C760" s="5"/>
    </row>
    <row r="761">
      <c r="A761" s="5"/>
      <c r="B761" s="5"/>
      <c r="C761" s="5"/>
    </row>
    <row r="762">
      <c r="A762" s="5"/>
      <c r="B762" s="5"/>
      <c r="C762" s="5"/>
    </row>
    <row r="763">
      <c r="A763" s="5"/>
      <c r="B763" s="5"/>
      <c r="C763" s="5"/>
    </row>
    <row r="764">
      <c r="A764" s="5"/>
      <c r="B764" s="5"/>
      <c r="C764" s="5"/>
    </row>
    <row r="765">
      <c r="A765" s="5"/>
      <c r="B765" s="5"/>
      <c r="C765" s="5"/>
    </row>
    <row r="766">
      <c r="A766" s="5"/>
      <c r="B766" s="5"/>
      <c r="C766" s="5"/>
    </row>
    <row r="767">
      <c r="A767" s="5"/>
      <c r="B767" s="5"/>
      <c r="C767" s="5"/>
    </row>
    <row r="768">
      <c r="A768" s="5"/>
      <c r="B768" s="5"/>
      <c r="C768" s="5"/>
    </row>
    <row r="769">
      <c r="A769" s="5"/>
      <c r="B769" s="5"/>
      <c r="C769" s="5"/>
    </row>
    <row r="770">
      <c r="A770" s="5"/>
      <c r="B770" s="5"/>
      <c r="C770" s="5"/>
    </row>
    <row r="771">
      <c r="A771" s="5"/>
      <c r="B771" s="5"/>
      <c r="C771" s="5"/>
    </row>
    <row r="772">
      <c r="A772" s="5"/>
      <c r="B772" s="5"/>
      <c r="C772" s="5"/>
    </row>
    <row r="773">
      <c r="A773" s="5"/>
      <c r="B773" s="5"/>
      <c r="C773" s="5"/>
    </row>
    <row r="774">
      <c r="A774" s="5"/>
      <c r="B774" s="5"/>
      <c r="C774" s="5"/>
    </row>
    <row r="775">
      <c r="A775" s="5"/>
      <c r="B775" s="5"/>
      <c r="C775" s="5"/>
    </row>
    <row r="776">
      <c r="A776" s="5"/>
      <c r="B776" s="5"/>
      <c r="C776" s="5"/>
    </row>
    <row r="777">
      <c r="A777" s="5"/>
      <c r="B777" s="5"/>
      <c r="C777" s="5"/>
    </row>
    <row r="778">
      <c r="A778" s="5"/>
      <c r="B778" s="5"/>
      <c r="C778" s="5"/>
    </row>
    <row r="779">
      <c r="A779" s="5"/>
      <c r="B779" s="5"/>
      <c r="C779" s="5"/>
    </row>
    <row r="780">
      <c r="A780" s="5"/>
      <c r="B780" s="5"/>
      <c r="C780" s="5"/>
    </row>
    <row r="781">
      <c r="A781" s="5"/>
      <c r="B781" s="5"/>
      <c r="C781" s="5"/>
    </row>
    <row r="782">
      <c r="A782" s="5"/>
      <c r="B782" s="5"/>
      <c r="C782" s="5"/>
    </row>
    <row r="783">
      <c r="A783" s="5"/>
      <c r="B783" s="5"/>
      <c r="C783" s="5"/>
    </row>
    <row r="784">
      <c r="A784" s="5"/>
      <c r="B784" s="5"/>
      <c r="C784" s="5"/>
    </row>
    <row r="785">
      <c r="A785" s="5"/>
      <c r="B785" s="5"/>
      <c r="C785" s="5"/>
    </row>
    <row r="786">
      <c r="A786" s="5"/>
      <c r="B786" s="5"/>
      <c r="C786" s="5"/>
    </row>
    <row r="787">
      <c r="A787" s="5"/>
      <c r="B787" s="5"/>
      <c r="C787" s="5"/>
    </row>
    <row r="788">
      <c r="A788" s="5"/>
      <c r="B788" s="5"/>
      <c r="C788" s="5"/>
    </row>
    <row r="789">
      <c r="A789" s="5"/>
      <c r="B789" s="5"/>
      <c r="C789" s="5"/>
    </row>
    <row r="790">
      <c r="A790" s="5"/>
      <c r="B790" s="5"/>
      <c r="C790" s="5"/>
    </row>
    <row r="791">
      <c r="A791" s="5"/>
      <c r="B791" s="5"/>
      <c r="C791" s="5"/>
    </row>
    <row r="792">
      <c r="A792" s="5"/>
      <c r="B792" s="5"/>
      <c r="C792" s="5"/>
    </row>
    <row r="793">
      <c r="A793" s="5"/>
      <c r="B793" s="5"/>
      <c r="C793" s="5"/>
    </row>
    <row r="794">
      <c r="A794" s="5"/>
      <c r="B794" s="5"/>
      <c r="C794" s="5"/>
    </row>
    <row r="795">
      <c r="A795" s="5"/>
      <c r="B795" s="5"/>
      <c r="C795" s="5"/>
    </row>
    <row r="796">
      <c r="A796" s="5"/>
      <c r="B796" s="5"/>
      <c r="C796" s="5"/>
    </row>
    <row r="797">
      <c r="A797" s="5"/>
      <c r="B797" s="5"/>
      <c r="C797" s="5"/>
    </row>
    <row r="798">
      <c r="A798" s="5"/>
      <c r="B798" s="5"/>
      <c r="C798" s="5"/>
    </row>
    <row r="799">
      <c r="A799" s="5"/>
      <c r="B799" s="5"/>
      <c r="C799" s="5"/>
    </row>
    <row r="800">
      <c r="A800" s="5"/>
      <c r="B800" s="5"/>
      <c r="C800" s="5"/>
    </row>
    <row r="801">
      <c r="A801" s="5"/>
      <c r="B801" s="5"/>
      <c r="C801" s="5"/>
    </row>
    <row r="802">
      <c r="A802" s="5"/>
      <c r="B802" s="5"/>
      <c r="C802" s="5"/>
    </row>
    <row r="803">
      <c r="A803" s="5"/>
      <c r="B803" s="5"/>
      <c r="C803" s="5"/>
    </row>
    <row r="804">
      <c r="A804" s="5"/>
      <c r="B804" s="5"/>
      <c r="C804" s="5"/>
    </row>
    <row r="805">
      <c r="A805" s="5"/>
      <c r="B805" s="5"/>
      <c r="C805" s="5"/>
    </row>
    <row r="806">
      <c r="A806" s="5"/>
      <c r="B806" s="5"/>
      <c r="C806" s="5"/>
    </row>
    <row r="807">
      <c r="A807" s="5"/>
      <c r="B807" s="5"/>
      <c r="C807" s="5"/>
    </row>
    <row r="808">
      <c r="A808" s="5"/>
      <c r="B808" s="5"/>
      <c r="C808" s="5"/>
    </row>
    <row r="809">
      <c r="A809" s="5"/>
      <c r="B809" s="5"/>
      <c r="C809" s="5"/>
    </row>
    <row r="810">
      <c r="A810" s="5"/>
      <c r="B810" s="5"/>
      <c r="C810" s="5"/>
    </row>
    <row r="811">
      <c r="A811" s="5"/>
      <c r="B811" s="5"/>
      <c r="C811" s="5"/>
    </row>
    <row r="812">
      <c r="A812" s="5"/>
      <c r="B812" s="5"/>
      <c r="C812" s="5"/>
    </row>
    <row r="813">
      <c r="A813" s="5"/>
      <c r="B813" s="5"/>
      <c r="C813" s="5"/>
    </row>
    <row r="814">
      <c r="A814" s="5"/>
      <c r="B814" s="5"/>
      <c r="C814" s="5"/>
    </row>
    <row r="815">
      <c r="A815" s="5"/>
      <c r="B815" s="5"/>
      <c r="C815" s="5"/>
    </row>
    <row r="816">
      <c r="A816" s="5"/>
      <c r="B816" s="5"/>
      <c r="C816" s="5"/>
    </row>
    <row r="817">
      <c r="A817" s="5"/>
      <c r="B817" s="5"/>
      <c r="C817" s="5"/>
    </row>
    <row r="818">
      <c r="A818" s="5"/>
      <c r="B818" s="5"/>
      <c r="C818" s="5"/>
    </row>
    <row r="819">
      <c r="A819" s="5"/>
      <c r="B819" s="5"/>
      <c r="C819" s="5"/>
    </row>
    <row r="820">
      <c r="A820" s="5"/>
      <c r="B820" s="5"/>
      <c r="C820" s="5"/>
    </row>
    <row r="821">
      <c r="A821" s="5"/>
      <c r="B821" s="5"/>
      <c r="C821" s="5"/>
    </row>
    <row r="822">
      <c r="A822" s="5"/>
      <c r="B822" s="5"/>
      <c r="C822" s="5"/>
    </row>
    <row r="823">
      <c r="A823" s="5"/>
      <c r="B823" s="5"/>
      <c r="C823" s="5"/>
    </row>
    <row r="824">
      <c r="A824" s="5"/>
      <c r="B824" s="5"/>
      <c r="C824" s="5"/>
    </row>
    <row r="825">
      <c r="A825" s="5"/>
      <c r="B825" s="5"/>
      <c r="C825" s="5"/>
    </row>
    <row r="826">
      <c r="A826" s="5"/>
      <c r="B826" s="5"/>
      <c r="C826" s="5"/>
    </row>
    <row r="827">
      <c r="A827" s="5"/>
      <c r="B827" s="5"/>
      <c r="C827" s="5"/>
    </row>
    <row r="828">
      <c r="A828" s="5"/>
      <c r="B828" s="5"/>
      <c r="C828" s="5"/>
    </row>
    <row r="829">
      <c r="A829" s="5"/>
      <c r="B829" s="5"/>
      <c r="C829" s="5"/>
    </row>
    <row r="830">
      <c r="A830" s="5"/>
      <c r="B830" s="5"/>
      <c r="C830" s="5"/>
    </row>
    <row r="831">
      <c r="A831" s="5"/>
      <c r="B831" s="5"/>
      <c r="C831" s="5"/>
    </row>
    <row r="832">
      <c r="A832" s="5"/>
      <c r="B832" s="5"/>
      <c r="C832" s="5"/>
    </row>
    <row r="833">
      <c r="A833" s="5"/>
      <c r="B833" s="5"/>
      <c r="C833" s="5"/>
    </row>
    <row r="834">
      <c r="A834" s="5"/>
      <c r="B834" s="5"/>
      <c r="C834" s="5"/>
    </row>
    <row r="835">
      <c r="A835" s="5"/>
      <c r="B835" s="5"/>
      <c r="C835" s="5"/>
    </row>
    <row r="836">
      <c r="A836" s="5"/>
      <c r="B836" s="5"/>
      <c r="C836" s="5"/>
    </row>
    <row r="837">
      <c r="A837" s="5"/>
      <c r="B837" s="5"/>
      <c r="C837" s="5"/>
    </row>
    <row r="838">
      <c r="A838" s="5"/>
      <c r="B838" s="5"/>
      <c r="C838" s="5"/>
    </row>
    <row r="839">
      <c r="A839" s="5"/>
      <c r="B839" s="5"/>
      <c r="C839" s="5"/>
    </row>
    <row r="840">
      <c r="A840" s="5"/>
      <c r="B840" s="5"/>
      <c r="C840" s="5"/>
    </row>
    <row r="841">
      <c r="A841" s="5"/>
      <c r="B841" s="5"/>
      <c r="C841" s="5"/>
    </row>
    <row r="842">
      <c r="A842" s="5"/>
      <c r="B842" s="5"/>
      <c r="C842" s="5"/>
    </row>
    <row r="843">
      <c r="A843" s="5"/>
      <c r="B843" s="5"/>
      <c r="C843" s="5"/>
    </row>
    <row r="844">
      <c r="A844" s="5"/>
      <c r="B844" s="5"/>
      <c r="C844" s="5"/>
    </row>
    <row r="845">
      <c r="A845" s="5"/>
      <c r="B845" s="5"/>
      <c r="C845" s="5"/>
    </row>
    <row r="846">
      <c r="A846" s="5"/>
      <c r="B846" s="5"/>
      <c r="C846" s="5"/>
    </row>
    <row r="847">
      <c r="A847" s="5"/>
      <c r="B847" s="5"/>
      <c r="C847" s="5"/>
    </row>
    <row r="848">
      <c r="A848" s="5"/>
      <c r="B848" s="5"/>
      <c r="C848" s="5"/>
    </row>
    <row r="849">
      <c r="A849" s="5"/>
      <c r="B849" s="5"/>
      <c r="C849" s="5"/>
    </row>
    <row r="850">
      <c r="A850" s="5"/>
      <c r="B850" s="5"/>
      <c r="C850" s="5"/>
    </row>
    <row r="851">
      <c r="A851" s="5"/>
      <c r="B851" s="5"/>
      <c r="C851" s="5"/>
    </row>
    <row r="852">
      <c r="A852" s="5"/>
      <c r="B852" s="5"/>
      <c r="C852" s="5"/>
    </row>
    <row r="853">
      <c r="A853" s="5"/>
      <c r="B853" s="5"/>
      <c r="C853" s="5"/>
    </row>
    <row r="854">
      <c r="A854" s="5"/>
      <c r="B854" s="5"/>
      <c r="C854" s="5"/>
    </row>
    <row r="855">
      <c r="A855" s="5"/>
      <c r="B855" s="5"/>
      <c r="C855" s="5"/>
    </row>
    <row r="856">
      <c r="A856" s="5"/>
      <c r="B856" s="5"/>
      <c r="C856" s="5"/>
    </row>
    <row r="857">
      <c r="A857" s="5"/>
      <c r="B857" s="5"/>
      <c r="C857" s="5"/>
    </row>
    <row r="858">
      <c r="A858" s="5"/>
      <c r="B858" s="5"/>
      <c r="C858" s="5"/>
    </row>
    <row r="859">
      <c r="A859" s="5"/>
      <c r="B859" s="5"/>
      <c r="C859" s="5"/>
    </row>
    <row r="860">
      <c r="A860" s="5"/>
      <c r="B860" s="5"/>
      <c r="C860" s="5"/>
    </row>
    <row r="861">
      <c r="A861" s="5"/>
      <c r="B861" s="5"/>
      <c r="C861" s="5"/>
    </row>
    <row r="862">
      <c r="A862" s="5"/>
      <c r="B862" s="5"/>
      <c r="C862" s="5"/>
    </row>
    <row r="863">
      <c r="A863" s="5"/>
      <c r="B863" s="5"/>
      <c r="C863" s="5"/>
    </row>
    <row r="864">
      <c r="A864" s="5"/>
      <c r="B864" s="5"/>
      <c r="C864" s="5"/>
    </row>
    <row r="865">
      <c r="A865" s="5"/>
      <c r="B865" s="5"/>
      <c r="C865" s="5"/>
    </row>
    <row r="866">
      <c r="A866" s="5"/>
      <c r="B866" s="5"/>
      <c r="C866" s="5"/>
    </row>
    <row r="867">
      <c r="A867" s="5"/>
      <c r="B867" s="5"/>
      <c r="C867" s="5"/>
    </row>
    <row r="868">
      <c r="A868" s="5"/>
      <c r="B868" s="5"/>
      <c r="C868" s="5"/>
    </row>
    <row r="869">
      <c r="A869" s="5"/>
      <c r="B869" s="5"/>
      <c r="C869" s="5"/>
    </row>
    <row r="870">
      <c r="A870" s="5"/>
      <c r="B870" s="5"/>
      <c r="C870" s="5"/>
    </row>
    <row r="871">
      <c r="A871" s="5"/>
      <c r="B871" s="5"/>
      <c r="C871" s="5"/>
    </row>
    <row r="872">
      <c r="A872" s="5"/>
      <c r="B872" s="5"/>
      <c r="C872" s="5"/>
    </row>
    <row r="873">
      <c r="A873" s="5"/>
      <c r="B873" s="5"/>
      <c r="C873" s="5"/>
    </row>
    <row r="874">
      <c r="A874" s="5"/>
      <c r="B874" s="5"/>
      <c r="C874" s="5"/>
    </row>
    <row r="875">
      <c r="A875" s="5"/>
      <c r="B875" s="5"/>
      <c r="C875" s="5"/>
    </row>
    <row r="876">
      <c r="A876" s="5"/>
      <c r="B876" s="5"/>
      <c r="C876" s="5"/>
    </row>
    <row r="877">
      <c r="A877" s="5"/>
      <c r="B877" s="5"/>
      <c r="C877" s="5"/>
    </row>
    <row r="878">
      <c r="A878" s="5"/>
      <c r="B878" s="5"/>
      <c r="C878" s="5"/>
    </row>
    <row r="879">
      <c r="A879" s="5"/>
      <c r="B879" s="5"/>
      <c r="C879" s="5"/>
    </row>
    <row r="880">
      <c r="A880" s="5"/>
      <c r="B880" s="5"/>
      <c r="C880" s="5"/>
    </row>
    <row r="881">
      <c r="A881" s="5"/>
      <c r="B881" s="5"/>
      <c r="C881" s="5"/>
    </row>
    <row r="882">
      <c r="A882" s="5"/>
      <c r="B882" s="5"/>
      <c r="C882" s="5"/>
    </row>
    <row r="883">
      <c r="A883" s="5"/>
      <c r="B883" s="5"/>
      <c r="C883" s="5"/>
    </row>
    <row r="884">
      <c r="A884" s="5"/>
      <c r="B884" s="5"/>
      <c r="C884" s="5"/>
    </row>
    <row r="885">
      <c r="A885" s="5"/>
      <c r="B885" s="5"/>
      <c r="C885" s="5"/>
    </row>
    <row r="886">
      <c r="A886" s="5"/>
      <c r="B886" s="5"/>
      <c r="C886" s="5"/>
    </row>
    <row r="887">
      <c r="A887" s="5"/>
      <c r="B887" s="5"/>
      <c r="C887" s="5"/>
    </row>
    <row r="888">
      <c r="A888" s="5"/>
      <c r="B888" s="5"/>
      <c r="C888" s="5"/>
    </row>
    <row r="889">
      <c r="A889" s="5"/>
      <c r="B889" s="5"/>
      <c r="C889" s="5"/>
    </row>
    <row r="890">
      <c r="A890" s="5"/>
      <c r="B890" s="5"/>
      <c r="C890" s="5"/>
    </row>
    <row r="891">
      <c r="A891" s="5"/>
      <c r="B891" s="5"/>
      <c r="C891" s="5"/>
    </row>
    <row r="892">
      <c r="A892" s="5"/>
      <c r="B892" s="5"/>
      <c r="C892" s="5"/>
    </row>
    <row r="893">
      <c r="A893" s="5"/>
      <c r="B893" s="5"/>
      <c r="C893" s="5"/>
    </row>
    <row r="894">
      <c r="A894" s="5"/>
      <c r="B894" s="5"/>
      <c r="C894" s="5"/>
    </row>
    <row r="895">
      <c r="A895" s="5"/>
      <c r="B895" s="5"/>
      <c r="C895" s="5"/>
    </row>
    <row r="896">
      <c r="A896" s="5"/>
      <c r="B896" s="5"/>
      <c r="C896" s="5"/>
    </row>
    <row r="897">
      <c r="A897" s="5"/>
      <c r="B897" s="5"/>
      <c r="C897" s="5"/>
    </row>
    <row r="898">
      <c r="A898" s="5"/>
      <c r="B898" s="5"/>
      <c r="C898" s="5"/>
    </row>
    <row r="899">
      <c r="A899" s="5"/>
      <c r="B899" s="5"/>
      <c r="C899" s="5"/>
    </row>
    <row r="900">
      <c r="A900" s="5"/>
      <c r="B900" s="5"/>
      <c r="C900" s="5"/>
    </row>
    <row r="901">
      <c r="A901" s="5"/>
      <c r="B901" s="5"/>
      <c r="C901" s="5"/>
    </row>
    <row r="902">
      <c r="A902" s="5"/>
      <c r="B902" s="5"/>
      <c r="C902" s="5"/>
    </row>
    <row r="903">
      <c r="A903" s="5"/>
      <c r="B903" s="5"/>
      <c r="C903" s="5"/>
    </row>
    <row r="904">
      <c r="A904" s="5"/>
      <c r="B904" s="5"/>
      <c r="C904" s="5"/>
    </row>
    <row r="905">
      <c r="A905" s="5"/>
      <c r="B905" s="5"/>
      <c r="C905" s="5"/>
    </row>
    <row r="906">
      <c r="A906" s="5"/>
      <c r="B906" s="5"/>
      <c r="C906" s="5"/>
    </row>
    <row r="907">
      <c r="A907" s="5"/>
      <c r="B907" s="5"/>
      <c r="C907" s="5"/>
    </row>
    <row r="908">
      <c r="A908" s="5"/>
      <c r="B908" s="5"/>
      <c r="C908" s="5"/>
    </row>
    <row r="909">
      <c r="A909" s="5"/>
      <c r="B909" s="5"/>
      <c r="C909" s="5"/>
    </row>
    <row r="910">
      <c r="A910" s="5"/>
      <c r="B910" s="5"/>
      <c r="C910" s="5"/>
    </row>
    <row r="911">
      <c r="A911" s="5"/>
      <c r="B911" s="5"/>
      <c r="C911" s="5"/>
    </row>
    <row r="912">
      <c r="A912" s="5"/>
      <c r="B912" s="5"/>
      <c r="C912" s="5"/>
    </row>
    <row r="913">
      <c r="A913" s="5"/>
      <c r="B913" s="5"/>
      <c r="C913" s="5"/>
    </row>
    <row r="914">
      <c r="A914" s="5"/>
      <c r="B914" s="5"/>
      <c r="C914" s="5"/>
    </row>
    <row r="915">
      <c r="A915" s="5"/>
      <c r="B915" s="5"/>
      <c r="C915" s="5"/>
    </row>
    <row r="916">
      <c r="A916" s="5"/>
      <c r="B916" s="5"/>
      <c r="C916" s="5"/>
    </row>
    <row r="917">
      <c r="A917" s="5"/>
      <c r="B917" s="5"/>
      <c r="C917" s="5"/>
    </row>
    <row r="918">
      <c r="A918" s="5"/>
      <c r="B918" s="5"/>
      <c r="C918" s="5"/>
    </row>
    <row r="919">
      <c r="A919" s="5"/>
      <c r="B919" s="5"/>
      <c r="C919" s="5"/>
    </row>
    <row r="920">
      <c r="A920" s="5"/>
      <c r="B920" s="5"/>
      <c r="C920" s="5"/>
    </row>
    <row r="921">
      <c r="A921" s="5"/>
      <c r="B921" s="5"/>
      <c r="C921" s="5"/>
    </row>
    <row r="922">
      <c r="A922" s="5"/>
      <c r="B922" s="5"/>
      <c r="C922" s="5"/>
    </row>
    <row r="923">
      <c r="A923" s="5"/>
      <c r="B923" s="5"/>
      <c r="C923" s="5"/>
    </row>
    <row r="924">
      <c r="A924" s="5"/>
      <c r="B924" s="5"/>
      <c r="C924" s="5"/>
    </row>
    <row r="925">
      <c r="A925" s="5"/>
      <c r="B925" s="5"/>
      <c r="C925" s="5"/>
    </row>
    <row r="926">
      <c r="A926" s="5"/>
      <c r="B926" s="5"/>
      <c r="C926" s="5"/>
    </row>
    <row r="927">
      <c r="A927" s="5"/>
      <c r="B927" s="5"/>
      <c r="C927" s="5"/>
    </row>
    <row r="928">
      <c r="A928" s="5"/>
      <c r="B928" s="5"/>
      <c r="C928" s="5"/>
    </row>
    <row r="929">
      <c r="A929" s="5"/>
      <c r="B929" s="5"/>
      <c r="C929" s="5"/>
    </row>
    <row r="930">
      <c r="A930" s="5"/>
      <c r="B930" s="5"/>
      <c r="C930" s="5"/>
    </row>
    <row r="931">
      <c r="A931" s="5"/>
      <c r="B931" s="5"/>
      <c r="C931" s="5"/>
    </row>
    <row r="932">
      <c r="A932" s="5"/>
      <c r="B932" s="5"/>
      <c r="C932" s="5"/>
    </row>
    <row r="933">
      <c r="A933" s="5"/>
      <c r="B933" s="5"/>
      <c r="C933" s="5"/>
    </row>
    <row r="934">
      <c r="A934" s="5"/>
      <c r="B934" s="5"/>
      <c r="C934" s="5"/>
    </row>
    <row r="935">
      <c r="A935" s="5"/>
      <c r="B935" s="5"/>
      <c r="C935" s="5"/>
    </row>
    <row r="936">
      <c r="A936" s="5"/>
      <c r="B936" s="5"/>
      <c r="C936" s="5"/>
    </row>
    <row r="937">
      <c r="A937" s="5"/>
      <c r="B937" s="5"/>
      <c r="C937" s="5"/>
    </row>
    <row r="938">
      <c r="A938" s="5"/>
      <c r="B938" s="5"/>
      <c r="C938" s="5"/>
    </row>
    <row r="939">
      <c r="A939" s="5"/>
      <c r="B939" s="5"/>
      <c r="C939" s="5"/>
    </row>
    <row r="940">
      <c r="A940" s="5"/>
      <c r="B940" s="5"/>
      <c r="C940" s="5"/>
    </row>
    <row r="941">
      <c r="A941" s="5"/>
      <c r="B941" s="5"/>
      <c r="C941" s="5"/>
    </row>
    <row r="942">
      <c r="A942" s="5"/>
      <c r="B942" s="5"/>
      <c r="C942" s="5"/>
    </row>
    <row r="943">
      <c r="A943" s="5"/>
      <c r="B943" s="5"/>
      <c r="C943" s="5"/>
    </row>
    <row r="944">
      <c r="A944" s="5"/>
      <c r="B944" s="5"/>
      <c r="C944" s="5"/>
    </row>
    <row r="945">
      <c r="A945" s="5"/>
      <c r="B945" s="5"/>
      <c r="C945" s="5"/>
    </row>
    <row r="946">
      <c r="A946" s="5"/>
      <c r="B946" s="5"/>
      <c r="C946" s="5"/>
    </row>
    <row r="947">
      <c r="A947" s="5"/>
      <c r="B947" s="5"/>
      <c r="C947" s="5"/>
    </row>
    <row r="948">
      <c r="A948" s="5"/>
      <c r="B948" s="5"/>
      <c r="C948" s="5"/>
    </row>
    <row r="949">
      <c r="A949" s="5"/>
      <c r="B949" s="5"/>
      <c r="C949" s="5"/>
    </row>
    <row r="950">
      <c r="A950" s="5"/>
      <c r="B950" s="5"/>
      <c r="C950" s="5"/>
    </row>
    <row r="951">
      <c r="A951" s="5"/>
      <c r="B951" s="5"/>
      <c r="C951" s="5"/>
    </row>
    <row r="952">
      <c r="A952" s="5"/>
      <c r="B952" s="5"/>
      <c r="C952" s="5"/>
    </row>
    <row r="953">
      <c r="A953" s="5"/>
      <c r="B953" s="5"/>
      <c r="C953" s="5"/>
    </row>
    <row r="954">
      <c r="A954" s="5"/>
      <c r="B954" s="5"/>
      <c r="C954" s="5"/>
    </row>
    <row r="955">
      <c r="A955" s="5"/>
      <c r="B955" s="5"/>
      <c r="C955" s="5"/>
    </row>
    <row r="956">
      <c r="A956" s="5"/>
      <c r="B956" s="5"/>
      <c r="C956" s="5"/>
    </row>
    <row r="957">
      <c r="A957" s="5"/>
      <c r="B957" s="5"/>
      <c r="C957" s="5"/>
    </row>
  </sheetData>
  <hyperlinks>
    <hyperlink r:id="rId1" ref="C4"/>
    <hyperlink r:id="rId2" ref="C5"/>
    <hyperlink r:id="rId3" ref="C68"/>
    <hyperlink r:id="rId4" ref="C69"/>
    <hyperlink r:id="rId5" ref="C70"/>
    <hyperlink r:id="rId6" ref="C71"/>
    <hyperlink r:id="rId7" ref="C72"/>
    <hyperlink r:id="rId8" ref="C78"/>
    <hyperlink r:id="rId9" ref="C94"/>
    <hyperlink r:id="rId10" ref="C102"/>
    <hyperlink r:id="rId11" ref="C107"/>
    <hyperlink r:id="rId12" ref="C109"/>
    <hyperlink r:id="rId13" ref="C116"/>
  </hyperlinks>
  <printOptions gridLines="1" horizontalCentered="1"/>
  <pageMargins bottom="0.75" footer="0.0" header="0.0" left="0.7" right="0.7" top="0.75"/>
  <pageSetup fitToHeight="0" paperSize="9" cellComments="atEnd" orientation="landscape" pageOrder="overThenDown"/>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31.25"/>
  </cols>
  <sheetData>
    <row r="1">
      <c r="A1" s="19" t="s">
        <v>257</v>
      </c>
      <c r="B1" s="19" t="s">
        <v>258</v>
      </c>
      <c r="C1" s="20"/>
      <c r="D1" s="20"/>
      <c r="E1" s="20"/>
      <c r="F1" s="20"/>
      <c r="G1" s="20"/>
      <c r="H1" s="20"/>
      <c r="I1" s="20"/>
      <c r="J1" s="20"/>
      <c r="K1" s="20"/>
      <c r="L1" s="20"/>
      <c r="M1" s="20"/>
      <c r="N1" s="20"/>
      <c r="O1" s="20"/>
      <c r="P1" s="20"/>
      <c r="Q1" s="20"/>
      <c r="R1" s="20"/>
      <c r="S1" s="20"/>
      <c r="T1" s="20"/>
      <c r="U1" s="20"/>
      <c r="V1" s="20"/>
      <c r="W1" s="20"/>
      <c r="X1" s="20"/>
      <c r="Y1" s="20"/>
      <c r="Z1" s="20"/>
    </row>
    <row r="2">
      <c r="A2" s="21" t="s">
        <v>259</v>
      </c>
      <c r="B2" s="21" t="s">
        <v>260</v>
      </c>
    </row>
    <row r="3">
      <c r="A3" s="21" t="s">
        <v>261</v>
      </c>
      <c r="B3" s="21" t="s">
        <v>262</v>
      </c>
    </row>
    <row r="4">
      <c r="A4" s="21" t="s">
        <v>263</v>
      </c>
      <c r="B4" s="21" t="s">
        <v>264</v>
      </c>
    </row>
    <row r="5">
      <c r="A5" s="21" t="s">
        <v>265</v>
      </c>
      <c r="B5" s="21" t="s">
        <v>266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38"/>
    <col customWidth="1" min="2" max="2" width="27.0"/>
    <col customWidth="1" min="3" max="3" width="22.0"/>
  </cols>
  <sheetData>
    <row r="1">
      <c r="A1" s="22" t="s">
        <v>104</v>
      </c>
      <c r="B1" s="23" t="s">
        <v>267</v>
      </c>
      <c r="C1" s="24">
        <f>LET(
  dataRiferimento, DATE(YEAR(TODAY()), 9, 15),
  giornoSettimanaRif, WEEKDAY(dataRiferimento, 2),
  domenicaPiuVicina, dataRiferimento - giornoSettimanaRif + 7 * (giornoSettimanaRif &gt; 4),
  domenicaLimite, DATE(YEAR(TODAY()), 9, 12),
  domenicaFinale, IF(domenicaPiuVicina &lt; domenicaLimite, domenicaLimite, domenicaPiuVicina),
  domenicaFinale
)
</f>
        <v>45914</v>
      </c>
    </row>
    <row r="2">
      <c r="A2" s="25" t="s">
        <v>104</v>
      </c>
      <c r="B2" s="26" t="s">
        <v>268</v>
      </c>
      <c r="C2" s="27">
        <f>LET(
  annoCorrente, YEAR(TODAY()),
  dataCambio, DATE(annoCorrente,7,1),
  annoCalcolo, IF(TODAY() &lt; dataCambio, annoCorrente, annoCorrente + 1),
  a, MOD(annoCalcolo,19),
  b, INT(annoCalcolo/100),
  c, MOD(annoCalcolo,100),
  d, INT(b/4),
  e, MOD(b,4),
  f, INT((b+8)/25),
  g, INT((b-f+1)/3),
  h, MOD(19*a + b - d - g + 15,30),
  j, INT(c/4),
  k, MOD(c,4),
  m, MOD(32 + 2*e + 2*j - h - k,7),
  n, INT((a + 11*h + 22*m)/451),
  p, h + m - 7*n + 114,
  mesePasqua, INT(p/31),
  giornoPasqua, MOD(p,31)+1,
  pasqua, DATE(annoCalcolo, mesePasqua, giornoPasqua),
  pentecoste, pasqua + 49,
  giovediCorpus, pasqua + 60,
  domenicaCorpus, giovediCorpus + (7 - WEEKDAY(giovediCorpus, 2)),
  primaData, MIN(pentecoste, domenicaCorpus),
  domenicaPrecedente, IF(MOD(WEEKDAY(primaData, 2), 7)=0, primaData - 7, primaData - MOD(WEEKDAY(primaData, 2), 7)),
  domenicaPrecedente
)
</f>
        <v>46159</v>
      </c>
    </row>
    <row r="3">
      <c r="A3" s="28" t="s">
        <v>92</v>
      </c>
      <c r="B3" s="23" t="s">
        <v>269</v>
      </c>
      <c r="C3" s="6" t="str">
        <f>LET(
  anno, YEAR(TODAY()),
  a, MOD(anno,19),
  b, INT(anno/100),
  c, MOD(anno,100),
  d, INT(b/4),
  e, MOD(b,4),
  f, INT((b+8)/25),
  g, INT((b-f+1)/3),
  h, MOD(19*a + b - d - g + 15,30),
  j, INT(c/4),
  k, MOD(c,4),
  m, MOD(32 + 2*e + 2*j - h - k,7),
  n, INT((a + 11*h + 22*m)/451),
  p, h + m - 7*n + 114,
  mesePasqua, INT(p/31),
  giornoPasqua, MOD(p,31)+1,
  pasqua, DATE(anno, mesePasqua, giornoPasqua),
  giovediCd, pasqua+60,
  domenicaCd, giovediCd + (7 - WEEKDAY(giovediCd,2)),
  corpus, IF(domenicaCd&lt;TODAY(),
            LET(
              anno, anno+1,
              a, MOD(anno,19),
              b, INT(anno/100),
              c, MOD(anno,100),
              d, INT(b/4),
              e, MOD(b,4),
              f, INT((b+8)/25),
              g, INT((b-f+1)/3),
              h, MOD(19*a + b - d - g + 15,30),
              j, INT(c/4),
              k, MOD(c,4),
              m, MOD(32 + 2*e + 2*j - h - k,7),
              n, INT((a + 11*h + 22*m)/451),
              p, h + m - 7*n + 114,
              mesePasqua, INT(p/31),
              giornoPasqua, MOD(p,31)+1,
              pasqua, DATE(anno, mesePasqua, giornoPasqua),
              giovediCd, pasqua+60,
              domenicaCd, giovediCd + (7 - WEEKDAY(giovediCd,2)),
              domenicaCd
            ),
            domenicaCd
          ),
  TEXT(corpus,"d mmmm yyyy") &amp; " - ore 10:45"
)
</f>
        <v>7 giugno 2026 - ore 10:45</v>
      </c>
    </row>
    <row r="4">
      <c r="A4" s="29" t="s">
        <v>92</v>
      </c>
      <c r="B4" s="30" t="s">
        <v>270</v>
      </c>
      <c r="C4" s="4" t="str">
        <f>LET(
  anno, YEAR(TODAY()),
  a, MOD(anno,19),
  b, INT(anno/100),
  c, MOD(anno,100),
  d, INT(b/4),
  e, MOD(b,4),
  f, INT((b+8)/25),
  g, INT((b-f+1)/3),
  h, MOD(19*a + b - d - g + 15,30),
  j, INT(c/4),
  k, MOD(c,4),
  m, MOD(32 + 2*e + 2*j - h - k,7),
  n, INT((a + 11*h + 22*m)/451),
  p, h + m - 7*n + 114,
  mesePasqua, INT(p/31),
  giornoPasqua, MOD(p,31)+1,
  pasqua, DATE(anno, mesePasqua, giornoPasqua),
  giovediCd, pasqua+60,
  domenicaCd, giovediCd + (7 - WEEKDAY(giovediCd,2)),
  corpus, IF(domenicaCd&lt;TODAY(),
            LET(
              anno, anno+1,
              a, MOD(anno,19),
              b, INT(anno/100),
              c, MOD(anno,100),
              d, INT(b/4),
              e, MOD(b,4),
              f, INT((b+8)/25),
              g, INT((b-f+1)/3),
              h, MOD(19*a + b - d - g + 15,30),
              j, INT(c/4),
              k, MOD(c,4),
              m, MOD(32 + 2*e + 2*j - h - k,7),
              n, INT((a + 11*h + 22*m)/451),
              p, h + m - 7*n + 114,
              mesePasqua, INT(p/31),
              giornoPasqua, MOD(p,31)+1,
              pasqua, DATE(anno, mesePasqua, giornoPasqua),
              giovediCd, pasqua+60,
              domenicaCd, giovediCd + (7 - WEEKDAY(giovediCd,2)),
              domenicaCd
            ),
            domenicaCd
          ),
  ritiro, corpus-8,
  TEXT(ritiro,"d mmmm yyyy") &amp; ". Dalle 10 alle 16."
)
</f>
        <v>30 maggio 2026. Dalle 10 alle 16.</v>
      </c>
    </row>
    <row r="5">
      <c r="A5" s="23" t="s">
        <v>95</v>
      </c>
      <c r="B5" s="23" t="s">
        <v>271</v>
      </c>
      <c r="C5" s="6" t="str">
        <f>LET(
  anno, YEAR(TODAY()),
  a, MOD(anno,19),
  b, INT(anno/100),
  c, MOD(anno,100),
  d, INT(b/4),
  e, MOD(b,4),
  f, INT((b+8)/25),
  g, INT((b-f+1)/3),
  h, MOD(19*a + b - d - g + 15,30),
  j, INT(c/4),
  k, MOD(c,4),
  m, MOD(32 + 2*e + 2*j - h - k,7),
  n, INT((a + 11*h + 22*m)/451),
  p, h + m - 7*n + 114,
  mesePasqua, INT(p/31),
  giornoPasqua, MOD(p,31)+1,
  pasqua, DATE(anno, mesePasqua, giornoPasqua),
  pentecoste, pasqua+49,
  primaComunione, pentecoste + (7 - WEEKDAY(pentecoste, 2)),
  dataFinale, IF(primaComunione &lt; TODAY(),
                 LET(
                   anno, anno + 1,
                   a, MOD(anno,19),
                   b, INT(anno/100),
                   c, MOD(anno,100),
                   d, INT(b/4),
                   e, MOD(b,4),
                   f, INT((b+8)/25),
                   g, INT((b-f+1)/3),
                   h, MOD(19*a + b - d - g + 15,30),
                   j, INT(c/4),
                   k, MOD(c,4),
                   m, MOD(32 + 2*e + 2*j - h - k,7),
                   n, INT((a + 11*h + 22*m)/451),
                   p, h + m - 7*n + 114,
                   mesePasqua, INT(p/31),
                   giornoPasqua, MOD(p,31)+1,
                   pasqua, DATE(anno, mesePasqua, giornoPasqua),
                   pentecoste, pasqua + 49,
                   pentecoste + (7 - WEEKDAY(pentecoste, 2))
                 ),
                 primaComunione
               ),
  TEXT(dataFinale, "d mmmm yyyy") &amp; " - Ore 20.30 presso l'Auletta rossa dell'Icef. Entrata dal cortile"
)
</f>
        <v>24 maggio 2026 - Ore 20.30 presso l'Auletta rossa dell'Icef. Entrata dal cortile</v>
      </c>
      <c r="D5" s="5"/>
      <c r="E5" s="31"/>
      <c r="F5" s="5"/>
      <c r="G5" s="5"/>
      <c r="H5" s="5"/>
      <c r="I5" s="5"/>
      <c r="J5" s="5"/>
      <c r="K5" s="5"/>
      <c r="L5" s="5"/>
      <c r="M5" s="5"/>
      <c r="N5" s="5"/>
      <c r="O5" s="5"/>
      <c r="P5" s="5"/>
      <c r="Q5" s="5"/>
      <c r="R5" s="5"/>
      <c r="S5" s="5"/>
      <c r="T5" s="5"/>
      <c r="U5" s="5"/>
      <c r="V5" s="5"/>
      <c r="W5" s="5"/>
      <c r="X5" s="5"/>
      <c r="Y5" s="5"/>
      <c r="Z5" s="5"/>
    </row>
    <row r="6">
      <c r="A6" s="6" t="s">
        <v>272</v>
      </c>
      <c r="B6" s="6" t="s">
        <v>273</v>
      </c>
      <c r="C6" s="6" t="s">
        <v>274</v>
      </c>
    </row>
    <row r="8">
      <c r="A8" s="4" t="s">
        <v>275</v>
      </c>
      <c r="B8" s="4" t="s">
        <v>276</v>
      </c>
      <c r="C8" s="4" t="s">
        <v>277</v>
      </c>
    </row>
    <row r="9">
      <c r="A9" s="6" t="s">
        <v>275</v>
      </c>
      <c r="B9" s="6" t="s">
        <v>276</v>
      </c>
      <c r="C9" s="6" t="s">
        <v>278</v>
      </c>
    </row>
    <row r="10">
      <c r="A10" s="4" t="s">
        <v>275</v>
      </c>
      <c r="B10" s="4" t="s">
        <v>276</v>
      </c>
      <c r="C10" s="4" t="s">
        <v>279</v>
      </c>
    </row>
    <row r="12">
      <c r="A12" s="4" t="s">
        <v>280</v>
      </c>
      <c r="B12" s="4" t="s">
        <v>276</v>
      </c>
      <c r="C12" s="4" t="s">
        <v>281</v>
      </c>
    </row>
    <row r="13">
      <c r="A13" s="6" t="s">
        <v>275</v>
      </c>
      <c r="B13" s="6" t="s">
        <v>276</v>
      </c>
      <c r="C13" s="6" t="s">
        <v>282</v>
      </c>
      <c r="D13" s="5"/>
      <c r="E13" s="5"/>
      <c r="F13" s="5"/>
      <c r="G13" s="5"/>
      <c r="H13" s="5"/>
      <c r="I13" s="5"/>
      <c r="J13" s="5"/>
      <c r="K13" s="5"/>
      <c r="L13" s="5"/>
      <c r="M13" s="5"/>
      <c r="N13" s="5"/>
      <c r="O13" s="5"/>
      <c r="P13" s="5"/>
      <c r="Q13" s="5"/>
      <c r="R13" s="5"/>
      <c r="S13" s="5"/>
      <c r="T13" s="5"/>
      <c r="U13" s="5"/>
      <c r="V13" s="5"/>
      <c r="W13" s="5"/>
      <c r="X13" s="5"/>
      <c r="Y13" s="5"/>
      <c r="Z13" s="5"/>
    </row>
    <row r="14">
      <c r="A14" s="6" t="s">
        <v>14</v>
      </c>
      <c r="B14" s="6" t="s">
        <v>283</v>
      </c>
      <c r="C14" s="6" t="s">
        <v>284</v>
      </c>
      <c r="D14" s="5"/>
      <c r="E14" s="5"/>
      <c r="F14" s="5"/>
      <c r="G14" s="5"/>
      <c r="H14" s="5"/>
      <c r="I14" s="5"/>
      <c r="J14" s="5"/>
      <c r="K14" s="5"/>
      <c r="L14" s="5"/>
      <c r="M14" s="5"/>
      <c r="N14" s="5"/>
      <c r="O14" s="5"/>
      <c r="P14" s="5"/>
      <c r="Q14" s="5"/>
      <c r="R14" s="5"/>
      <c r="S14" s="5"/>
      <c r="T14" s="5"/>
      <c r="U14" s="5"/>
      <c r="V14" s="5"/>
      <c r="W14" s="5"/>
      <c r="X14" s="5"/>
      <c r="Y14" s="5"/>
      <c r="Z14" s="5"/>
    </row>
    <row r="15">
      <c r="A15" s="4" t="s">
        <v>14</v>
      </c>
      <c r="B15" s="4" t="s">
        <v>285</v>
      </c>
      <c r="C15" s="4" t="s">
        <v>286</v>
      </c>
      <c r="D15" s="5"/>
      <c r="E15" s="5"/>
      <c r="F15" s="5"/>
      <c r="G15" s="5"/>
      <c r="H15" s="5"/>
      <c r="I15" s="5"/>
      <c r="J15" s="5"/>
      <c r="K15" s="5"/>
      <c r="L15" s="5"/>
      <c r="M15" s="5"/>
      <c r="N15" s="5"/>
      <c r="O15" s="5"/>
      <c r="P15" s="5"/>
      <c r="Q15" s="5"/>
      <c r="R15" s="5"/>
      <c r="S15" s="5"/>
      <c r="T15" s="5"/>
      <c r="U15" s="5"/>
      <c r="V15" s="5"/>
      <c r="W15" s="5"/>
      <c r="X15" s="5"/>
      <c r="Y15" s="5"/>
      <c r="Z15" s="5"/>
    </row>
    <row r="16">
      <c r="A16" s="4" t="s">
        <v>287</v>
      </c>
      <c r="B16" s="4" t="s">
        <v>288</v>
      </c>
      <c r="C16" s="4" t="s">
        <v>289</v>
      </c>
      <c r="D16" s="5"/>
      <c r="E16" s="5"/>
      <c r="F16" s="5"/>
      <c r="G16" s="5"/>
      <c r="H16" s="5"/>
      <c r="I16" s="5"/>
      <c r="J16" s="5"/>
      <c r="K16" s="5"/>
      <c r="L16" s="5"/>
      <c r="M16" s="5"/>
      <c r="N16" s="5"/>
      <c r="O16" s="5"/>
      <c r="P16" s="5"/>
      <c r="Q16" s="5"/>
      <c r="R16" s="5"/>
      <c r="S16" s="5"/>
      <c r="T16" s="5"/>
      <c r="U16" s="5"/>
      <c r="V16" s="5"/>
      <c r="W16" s="5"/>
      <c r="X16" s="5"/>
      <c r="Y16" s="5"/>
      <c r="Z16" s="5"/>
    </row>
    <row r="17">
      <c r="A17" s="6" t="s">
        <v>290</v>
      </c>
      <c r="B17" s="6" t="s">
        <v>288</v>
      </c>
      <c r="C17" s="6" t="s">
        <v>291</v>
      </c>
      <c r="D17" s="5"/>
      <c r="E17" s="5"/>
      <c r="F17" s="5"/>
      <c r="G17" s="5"/>
      <c r="H17" s="5"/>
      <c r="I17" s="5"/>
      <c r="J17" s="5"/>
      <c r="K17" s="5"/>
      <c r="L17" s="5"/>
      <c r="M17" s="5"/>
      <c r="N17" s="5"/>
      <c r="O17" s="5"/>
      <c r="P17" s="5"/>
      <c r="Q17" s="5"/>
      <c r="R17" s="5"/>
      <c r="S17" s="5"/>
      <c r="T17" s="5"/>
      <c r="U17" s="5"/>
      <c r="V17" s="5"/>
      <c r="W17" s="5"/>
      <c r="X17" s="5"/>
      <c r="Y17" s="5"/>
      <c r="Z17" s="5"/>
    </row>
  </sheetData>
  <drawing r:id="rId1"/>
</worksheet>
</file>